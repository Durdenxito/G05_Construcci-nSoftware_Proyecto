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AVjjiC82o4kuBEqVZ/TbgK1GdRiBbmhFZxxc63zMfy4="/>
    </ext>
  </extLst>
</workbook>
</file>

<file path=xl/sharedStrings.xml><?xml version="1.0" encoding="utf-8"?>
<sst xmlns="http://schemas.openxmlformats.org/spreadsheetml/2006/main" count="567" uniqueCount="253">
  <si>
    <t>Catalogo de Casos de Pruebas de Software</t>
  </si>
  <si>
    <t>Proyecto: Sistema web basada en visión artificial para la detección de obstrucciones y estimación del riesgo de desborde en canales de la ciudad de Tacna</t>
  </si>
  <si>
    <t>Información para el Seguimiento</t>
  </si>
  <si>
    <t>Id</t>
  </si>
  <si>
    <t>Caso de Prueba</t>
  </si>
  <si>
    <t>Tipo de Prueba</t>
  </si>
  <si>
    <t>Nivel</t>
  </si>
  <si>
    <t>Fase</t>
  </si>
  <si>
    <t>Responsable</t>
  </si>
  <si>
    <t>Descripción</t>
  </si>
  <si>
    <t>Fecha</t>
  </si>
  <si>
    <t>Área Funcional / Sub proceso</t>
  </si>
  <si>
    <t>Funcionalidad / Característica</t>
  </si>
  <si>
    <t>Descripción de la información a completar en cada columna</t>
  </si>
  <si>
    <t>Requerimientos de Ambiente de Pruebas</t>
  </si>
  <si>
    <t>Procedimientos especiales requeridos</t>
  </si>
  <si>
    <t>Dependencias con otros casos de Prueba</t>
  </si>
  <si>
    <t>Modalidad</t>
  </si>
  <si>
    <t>Entorno de Prueba</t>
  </si>
  <si>
    <t>Resultado Obtenido</t>
  </si>
  <si>
    <t>Estado</t>
  </si>
  <si>
    <t>Última Fecha de Estado</t>
  </si>
  <si>
    <t>Observaciones</t>
  </si>
  <si>
    <t>CPU-01</t>
  </si>
  <si>
    <t>Columna</t>
  </si>
  <si>
    <t>Gestionar usuarios</t>
  </si>
  <si>
    <t>Instrucciones</t>
  </si>
  <si>
    <t>Manual</t>
  </si>
  <si>
    <t>Prueba Unitaria</t>
  </si>
  <si>
    <t>Unitaria</t>
  </si>
  <si>
    <t>Componente / Función</t>
  </si>
  <si>
    <t>Codificación</t>
  </si>
  <si>
    <t>Mamani Estaña, Junior (QA y Desarrollador)</t>
  </si>
  <si>
    <t>Transforma 'Datos del usuario' en 'Usuario registrado' solo si el correo es único y los campos son válidos; si falla, detiene el flujo sin generar el objeto</t>
  </si>
  <si>
    <t>Administración del sistema</t>
  </si>
  <si>
    <t>UC-01: Validación de datos de usuario</t>
  </si>
  <si>
    <t>Python + FastAPI, BD de pruebas, Pytest</t>
  </si>
  <si>
    <t>BD de pruebas aislada.</t>
  </si>
  <si>
    <t>Cada caso de prueba debe tener un identificador (código) único.</t>
  </si>
  <si>
    <t>Ninguna</t>
  </si>
  <si>
    <t>Automatizada</t>
  </si>
  <si>
    <t>Alfa</t>
  </si>
  <si>
    <t>Prueba de Integracion</t>
  </si>
  <si>
    <t>CPI-01</t>
  </si>
  <si>
    <t>Integración</t>
  </si>
  <si>
    <t>Módulo (Backend + BD)</t>
  </si>
  <si>
    <t>Post-desarrollo</t>
  </si>
  <si>
    <t>Laqui Luyo, Enzo (Tester)</t>
  </si>
  <si>
    <t>Confirma que la interfaz, el módulo de usuarios y la BD persistan el 'Usuario registrado' y actualicen el listado de inmediato al registrar, editar o desactivar</t>
  </si>
  <si>
    <t>UC-01: Registro, edición y desactivación de usuarios.</t>
  </si>
  <si>
    <t>Título descriptivo del caso de prueba.</t>
  </si>
  <si>
    <t>Python + FastAPI, BD de pruebas, Pytest.</t>
  </si>
  <si>
    <t>Prueba Funcional</t>
  </si>
  <si>
    <t>Un Supervisor autenticado.</t>
  </si>
  <si>
    <t>CPA-01</t>
  </si>
  <si>
    <t>Aceptación</t>
  </si>
  <si>
    <t>Sistema (End-to-End)</t>
  </si>
  <si>
    <t>Entrega</t>
  </si>
  <si>
    <t>Cliente/Usuario</t>
  </si>
  <si>
    <t>El Supervisor registra, edita y desactiva un usuario Operador real desde la interfaz, verificando el rol asignado y que el historial no se elimina.</t>
  </si>
  <si>
    <t>UC-01: Gestión de usuarios desde la interfaz</t>
  </si>
  <si>
    <t>Entorno Beta en VPS, datos reales, usuario Operador/Supervisor real.</t>
  </si>
  <si>
    <t>Supervisor real (docente o integrante del equipo).</t>
  </si>
  <si>
    <t>Referenciar el tipo de prueba a realizar (Unitaria, Integral, Funcional, de Aceptacion,etc)</t>
  </si>
  <si>
    <t>Beta</t>
  </si>
  <si>
    <t>Prueba Punto a Punto</t>
  </si>
  <si>
    <t>CPU-02</t>
  </si>
  <si>
    <t xml:space="preserve">Gestionar canales monitoreados </t>
  </si>
  <si>
    <t>Corresponden a la profundidad o alcance que tiene la prueba dentro del sistema.</t>
  </si>
  <si>
    <t>Transforma 'Datos del canal' en 'Canal registrado' solo si las coordenadas son válidas y hay al menos un operador asignado; si no, no se genera el objeto</t>
  </si>
  <si>
    <t>UC-02: Validación de datos de canal</t>
  </si>
  <si>
    <t>BD de pruebas con al menos un operador precargado.</t>
  </si>
  <si>
    <t>Ubican temporalmente la prueba dentro del proceso de desarrollo.</t>
  </si>
  <si>
    <t>CPI-02</t>
  </si>
  <si>
    <t>Módulo (Backend + BD + Usuarios)</t>
  </si>
  <si>
    <t>Verifica que el módulo de canales valide contra Usuario (relación 'es responsable de') antes de guardar, y que 'Canal registrado' quede disponible para el resto del sistema</t>
  </si>
  <si>
    <t>Define quién realiza cada tipo de prueba, según su rol.</t>
  </si>
  <si>
    <t xml:space="preserve">UC-02: Registro y asignación de operadores a canales </t>
  </si>
  <si>
    <t>Debe existir un usuario Operador previo.</t>
  </si>
  <si>
    <t>CPI-01, CPU-02</t>
  </si>
  <si>
    <t>CPA-02</t>
  </si>
  <si>
    <t>Descripción del caso de prueba, indicando sus elementos, funcionalidades y acciones a ser ejercidas en el caso de prueba.</t>
  </si>
  <si>
    <t>El Supervisor registra algun canal con operador asignado y confirma que queda disponible en el listado y en el módulo de carga de fotografías.</t>
  </si>
  <si>
    <t>Prueba de Regresion</t>
  </si>
  <si>
    <t>UC-02: Gestión de canales desde la interfaz</t>
  </si>
  <si>
    <t>Coordenadas reales del canal Collpa.</t>
  </si>
  <si>
    <t>CPU-03</t>
  </si>
  <si>
    <t xml:space="preserve">Cargar fotografía de canal </t>
  </si>
  <si>
    <t>Fecha en que fue creado el caso de prueba.</t>
  </si>
  <si>
    <t xml:space="preserve">Valida el objeto 'Fotografía' por formato/tamaño y lo transforma en 'Fotografía registrada' solo si es válido; si no, el flujo termina sin objeto de continuidad </t>
  </si>
  <si>
    <t>Prueba de Humo</t>
  </si>
  <si>
    <t>Captura y Analisís de imagenes</t>
  </si>
  <si>
    <t>UC-03: Validación de formato y tamaño de imagen</t>
  </si>
  <si>
    <t>Archivos de prueba válidos e inválidos (JPG/PNG y otros).</t>
  </si>
  <si>
    <t>CPI-03</t>
  </si>
  <si>
    <t>Describe el área funcional, subproceso o modulo al que está asociado el caso de prueba. La intención es poder dividir los casos de prueba según la estructura jerárquica funcional del sistema que se está probando y los procesos que este soporta.</t>
  </si>
  <si>
    <t>Módulo (Carga + BD + Disparo de Análisis)</t>
  </si>
  <si>
    <t>Prueba de Aceptacion</t>
  </si>
  <si>
    <t>Confirma que, al registrarse la fotografía, se genere 'Fotografía lista para analizar' y se dispare automáticamente UC-04 sin intervención del usuario</t>
  </si>
  <si>
    <t>UC-03: Carga de fotografía y activación automática del análisis</t>
  </si>
  <si>
    <t>Módulo de análisis (o stub) disponible.</t>
  </si>
  <si>
    <t>CPI-02, CPU-03</t>
  </si>
  <si>
    <t>CPA-03</t>
  </si>
  <si>
    <t>El Operador sube desde su celular una foto real del canal Collpa y confirma el registro inmediato con fecha/hora, sin pasos innecesarios</t>
  </si>
  <si>
    <t>UC-03: Carga de fotografía desde dispositivo móvil</t>
  </si>
  <si>
    <t>Describe el título de la característica o funcionalidad que se está probando (Caso de uso de referencia). Por ej. Suscripción al Servicio, Entrega de Orden, Selección de Producto, Consulta de Ordenes Pendientes.</t>
  </si>
  <si>
    <t>Fotografía real tomada en campo.</t>
  </si>
  <si>
    <t>Prueba de rendimiento</t>
  </si>
  <si>
    <t>CPU-04</t>
  </si>
  <si>
    <t>Analizar fotografía automáticamente</t>
  </si>
  <si>
    <t>Componente / Modelo de IA</t>
  </si>
  <si>
    <t>YOLOv11 genera 'Residuos detectados' y YOLOv8-seg genera 'Porcentaje de obstrucción' de forma independiente sobre imágenes de prueba ya etiquetadas</t>
  </si>
  <si>
    <t>UC-04: Detección de residuos y segmentación del cauce</t>
  </si>
  <si>
    <t>Colab/servidor GPU, pesos YOLOv11 y YOLOv8-seg, dataset de validación etiquetado.</t>
  </si>
  <si>
    <t>Dataset de validación etiquetado, distinto al de entrenamiento.</t>
  </si>
  <si>
    <t>CPI-04</t>
  </si>
  <si>
    <t>Módulo (Detección + Segmentación + BD + Fork)</t>
  </si>
  <si>
    <t xml:space="preserve">Cualquier especificación del hardware y software especial requerido para ejecutar el caso de prueba, que no sea común a todos los casos. </t>
  </si>
  <si>
    <t xml:space="preserve">Confirma que ambos resultados se consoliden en 'Resultado del análisis' y se bifurquen (fork) simultáneamente hacia UC-05 y UC-06, cumpliendo RNF02 </t>
  </si>
  <si>
    <t>UC-04: Pipeline de análisis automático de imagen</t>
  </si>
  <si>
    <t>Medir el tiempo total del análisis.</t>
  </si>
  <si>
    <t>CPI-03, CPU-04</t>
  </si>
  <si>
    <t>CPA-04</t>
  </si>
  <si>
    <t>Tras cargar una foto real del canal Collpa, el Operador confirma un resultado visualmente razonable dentro de un tiempo de espera aceptable</t>
  </si>
  <si>
    <t>Se describen cualquier restricción o condicionamiento en los procedimientos de prueba asociados a cada caso.</t>
  </si>
  <si>
    <t>UC04: Análisis automático de imagen en campo</t>
  </si>
  <si>
    <t>3 fotografías reales con distinto nivel de obstrucción.</t>
  </si>
  <si>
    <t>CPU-05</t>
  </si>
  <si>
    <t>Visualizar resultado del análisis</t>
  </si>
  <si>
    <t>Lista de los identificadores de los casos de prueba que deben ejecutarse antes de este caso. También puede incluir un sumario de la naturaleza de estas dependencias.</t>
  </si>
  <si>
    <t xml:space="preserve">Transforma 'Resultado del análisis' en 'Resultado visualizado' (imagen marcada + %); si el análisis fue no concluyente, genera el mensaje correspondiente en su lugar </t>
  </si>
  <si>
    <t>UC-05: Composición del resultado visual</t>
  </si>
  <si>
    <t>Navegador actualizado, staging con backend y BD activos.</t>
  </si>
  <si>
    <t>Resultados de análisis simulados (concluyentes y no concluyentes).</t>
  </si>
  <si>
    <t>Modalidad de Prueba</t>
  </si>
  <si>
    <t>CPI-05</t>
  </si>
  <si>
    <t>Manual o automatizada</t>
  </si>
  <si>
    <t>Módulo (Backend - Frontend)</t>
  </si>
  <si>
    <t>Verifica que el resultado generado por UC-04 llegue sin pérdida a la interfaz y se presente al Operador de forma inmediata, sin que este lo solicite</t>
  </si>
  <si>
    <t>UC-05: Transmisión y renderizado del resultado del análisis</t>
  </si>
  <si>
    <t>Backend y frontend en el mismo entorno.</t>
  </si>
  <si>
    <t>CPI-04, CPU-05</t>
  </si>
  <si>
    <t>Alfa o Beta</t>
  </si>
  <si>
    <t>CPA-05</t>
  </si>
  <si>
    <t>El Operador revisa el resultado mostrado tras una carga real y confirma que es claro y comprensible sin necesitar conocimiento técnico.</t>
  </si>
  <si>
    <t>UC-05: Comprensión del resultado visualizado por el usuario</t>
  </si>
  <si>
    <t>Retroalimentación cualitativa del Operador.</t>
  </si>
  <si>
    <t>Información para el seguimiento</t>
  </si>
  <si>
    <t>CPU-06</t>
  </si>
  <si>
    <t>Obtener datos de precipitación</t>
  </si>
  <si>
    <t>La 'Solicitud de dato de lluvia' deriva en 'Dato de precipitación' si SENAMHI responde, o en 'Dato de precipitación no disponible' si falla, sin detener el flujo</t>
  </si>
  <si>
    <t>UC-06: Consulta al servicio externo SENAMHI</t>
  </si>
  <si>
    <t>Acceso o sandbox al servicio SENAMHI; conexión estable.</t>
  </si>
  <si>
    <t>Mock/sandbox de SENAMHI con respuesta y caída simuladas.</t>
  </si>
  <si>
    <t>CPI-06</t>
  </si>
  <si>
    <t>Se describe el resultado real obtenido de la ejecución del caso de prueba (Este es una columna de seguimiento). Si esta difiere del resultado esperado, debería especificarse en un reporte de incidencia.</t>
  </si>
  <si>
    <t>Módulo (Análisis + Precipitación + Servicio Externo)</t>
  </si>
  <si>
    <t>Confirma que ambos casos se consoliden en 'Insumo de precipitación' y se entreguen correctamente a UC-07 para el cálculo del índice de riesgo</t>
  </si>
  <si>
    <t>UC-06: Obtención e integración del dato de precipitación en el flujo de riesgo</t>
  </si>
  <si>
    <t>Probar con servicio real y con caída simulada (timeout).</t>
  </si>
  <si>
    <t>CPI-04, CPU-06</t>
  </si>
  <si>
    <t>CPA-06</t>
  </si>
  <si>
    <t>Estado actual del caso de prueba. (Pendiente, Finalizada, Suspendida, Etc)</t>
  </si>
  <si>
    <t>Tras analizar una foto real de un canal real, se confirma que el sistema registra el dato de lluvia (o su ausencia) correspondiente a la zona del canal.</t>
  </si>
  <si>
    <t>UC-06: Disponibilidad del dato de lluvia en el resultado final</t>
  </si>
  <si>
    <t>Última fecha en que se ejecutó una acción referente al caso o que este cambio de estado.</t>
  </si>
  <si>
    <t>Ejecutar en día con datos de lluvia recientes en SENAMHI, de ser posible.</t>
  </si>
  <si>
    <t>CPU-07</t>
  </si>
  <si>
    <t>Calcular índice de riesgo y generar alerta</t>
  </si>
  <si>
    <t>Bajo</t>
  </si>
  <si>
    <t>Observaciones relacionadas con la ejecución de los casos y de los resultados que se obtuvieron.</t>
  </si>
  <si>
    <t>Se invoca directamente la función de cálculo con distintos valores de % de obstrucción y lluvia, verificando que clasifique correctamente el nivel (bajo, medio, alto, crítico) según los umbrales configurados, incluyendo valores límite entre niveles.</t>
  </si>
  <si>
    <t>Gestión de Riesgo y Alertas</t>
  </si>
  <si>
    <t>UC-07: Calcular índice de riesgo y generar alerta</t>
  </si>
  <si>
    <t>Entorno local, módulo de cálculo aislado (sin BD ni servicios externos)</t>
  </si>
  <si>
    <t>Ninguno</t>
  </si>
  <si>
    <t>CPI-07</t>
  </si>
  <si>
    <t>Medio</t>
  </si>
  <si>
    <t>Se ejecuta el flujo completo desde que el módulo de análisis entrega el % de obstrucción y el módulo de precipitación entrega el dato SENAMHI, hasta que el módulo de riesgo calcula el índice y genera alerta si corresponde. Incluye el escenario donde el dato de lluvia no está disponible.</t>
  </si>
  <si>
    <t>Entorno de pruebas con BD de prueba y mock del servicio SENAMHI</t>
  </si>
  <si>
    <t>Contar con canal, análisis de obstrucción y umbrales ya configurados</t>
  </si>
  <si>
    <t>CPU-04, CPU-06 (análisis y precipitación)</t>
  </si>
  <si>
    <t>CPA-07</t>
  </si>
  <si>
    <t>Muy alto</t>
  </si>
  <si>
    <t>Desde la perspectiva del usuario, se carga una fotografía con obstrucción alta y lluvia registrada, validando que el Supervisor visualice la alerta en el dashboard de forma clara y oportuna.</t>
  </si>
  <si>
    <t>Entorno Beta, con datos reales o representativos de un canal</t>
  </si>
  <si>
    <t>Participación de un usuario representativo de Gestión de Riesgos</t>
  </si>
  <si>
    <t>CPU-08</t>
  </si>
  <si>
    <t>Visualización de mapa de canales</t>
  </si>
  <si>
    <t>Se invoca la función que filtra los canales a mostrar según el rol (Operador ve solo asignados, Supervisor ve todos), verificando que devuelva el listado correcto en cada caso.</t>
  </si>
  <si>
    <t>Monitoreo y Reportes</t>
  </si>
  <si>
    <t>UC-08: Visualizar mapa de canales</t>
  </si>
  <si>
    <t>Entorno local, módulo de filtrado aislado (sin BD real)</t>
  </si>
  <si>
    <t>CPI-08</t>
  </si>
  <si>
    <t>Se ejecuta el flujo completo desde que el módulo de riesgo entrega el índice vigente de cada canal, hasta que la interfaz lo representa en el mapa con el color correspondiente, incluyendo el caso de un canal sin mediciones registradas.</t>
  </si>
  <si>
    <t>Entorno de pruebas con BD de prueba y canales con distintos niveles de riesgo</t>
  </si>
  <si>
    <t>Contar con al menos un canal sin mediciones y otros con mediciones de distinto nivel</t>
  </si>
  <si>
    <t>CPA-08</t>
  </si>
  <si>
    <t>Desde la perspectiva del usuario, se valida que al ingresar al dashboard el mapa muestre los canales correspondientes a su rol, con colores claros y comprensibles según el nivel de riesgo, y que al seleccionar un canal se muestre su detalle.</t>
  </si>
  <si>
    <t>Entorno Beta, con datos representativos de varios canales</t>
  </si>
  <si>
    <t>Participación de un usuario Operador y uno Supervisor</t>
  </si>
  <si>
    <t>CPU-09</t>
  </si>
  <si>
    <t>Historial de mediciones</t>
  </si>
  <si>
    <t>Se invoca la función que recupera el historial de un canal aplicando un filtro de fechas, verificando que devuelva únicamente los registros dentro del rango indicado.</t>
  </si>
  <si>
    <t>UC-09: Consultar historial de mediciones</t>
  </si>
  <si>
    <t>Entorno local, módulo de consulta aislado (sin BD real)</t>
  </si>
  <si>
    <t>CPI-09</t>
  </si>
  <si>
    <t>Se ejecuta el flujo completo desde que el Supervisor selecciona un canal y un rango de fechas, hasta que el sistema consulta la base de datos y muestra el listado ordenado cronológicamente, incluyendo el caso sin resultados.</t>
  </si>
  <si>
    <t>Entorno de pruebas con BD de prueba y mediciones históricas registradas</t>
  </si>
  <si>
    <t>Contar con un canal con varias mediciones en distintas fechas</t>
  </si>
  <si>
    <t>CPA-09</t>
  </si>
  <si>
    <t xml:space="preserve">Historial de mediciones
</t>
  </si>
  <si>
    <t>Desde la perspectiva del usuario, se valida que el Supervisor pueda consultar el historial de un canal, aplicar filtros de fecha y visualizar la información de forma ordenada y comprensible.</t>
  </si>
  <si>
    <t>Entorno Beta, con datos representativos de un canal con historial extenso</t>
  </si>
  <si>
    <t>Participación de un usuario Supervisor</t>
  </si>
  <si>
    <t>CPU-10</t>
  </si>
  <si>
    <t>Exportación de reportes</t>
  </si>
  <si>
    <t>Se invoca la función de generación de reportes con distintos parámetros (canal, periodo, formato PDF/Excel), verificando que el archivo se construya con la estructura y datos esperados.</t>
  </si>
  <si>
    <t>UC-10: Exportar reportes</t>
  </si>
  <si>
    <t>Entorno local, módulo de generación de reportes aislado (sin BD real)</t>
  </si>
  <si>
    <t>CPI-10</t>
  </si>
  <si>
    <t>Se ejecuta el flujo completo desde que el Supervisor selecciona canales, periodo y formato, hasta que el sistema consulta la base de datos, genera el archivo y lo pone a disposición para descarga, incluyendo el caso sin datos disponibles.</t>
  </si>
  <si>
    <t>Entorno de pruebas con BD de prueba y mediciones dentro y fuera del periodo seleccionado</t>
  </si>
  <si>
    <t>Contar con canales con y sin mediciones en el periodo de prueba</t>
  </si>
  <si>
    <t>CPA-10</t>
  </si>
  <si>
    <t>Desde la perspectiva del usuario, se valida que el Supervisor pueda generar un reporte en el formato deseado, descargarlo correctamente y que su contenido refleje con precisión el estado de riesgo de los canales seleccionados.</t>
  </si>
  <si>
    <t>Entorno Beta, con datos representativos de varios canales y mediciones</t>
  </si>
  <si>
    <t>CPU-11</t>
  </si>
  <si>
    <t>Atención de alertas</t>
  </si>
  <si>
    <t>Se invoca la función de atención de alerta con y sin observación ingresada, verificando que el sistema rechace el cambio de estado cuando el campo esté vacío.</t>
  </si>
  <si>
    <t>UC-11: Atender alerta</t>
  </si>
  <si>
    <t>Entorno local, módulo de alertas aislado (sin BD real)</t>
  </si>
  <si>
    <t>CPI-11</t>
  </si>
  <si>
    <t>Se ejecuta el flujo completo desde que el Operador selecciona una alerta activa y registra su observación, hasta que el sistema actualiza el estado en la base de datos y el registro queda disponible en el historial.</t>
  </si>
  <si>
    <t>Entorno de pruebas con BD de prueba y al menos una alerta activa generada previamente</t>
  </si>
  <si>
    <t>Contar con una alerta activa asociada a un canal asignado al Operador de prueba</t>
  </si>
  <si>
    <t>CPA-11</t>
  </si>
  <si>
    <t>Desde la perspectiva del usuario, se valida que el Operador identifique fácilmente una alerta activa, registre la acción tomada según su criterio y confirme su atención sin dificultad, incluso desde un dispositivo móvil.</t>
  </si>
  <si>
    <t>Entorno Beta, con datos representativos de una alerta activa</t>
  </si>
  <si>
    <t>Participación de un usuario Operador, preferentemente en campo con celular</t>
  </si>
  <si>
    <t>CPU-12</t>
  </si>
  <si>
    <t>Configuración de umbrales de riesgo</t>
  </si>
  <si>
    <t>Se invoca la función de validación de umbrales con distintos conjuntos de valores (coherentes y con superposición entre niveles), verificando que solo se acepten los rangos válidos.</t>
  </si>
  <si>
    <t>Administración del Sistema</t>
  </si>
  <si>
    <t>UC-12: Configurar umbrales de riesgo</t>
  </si>
  <si>
    <t>Entorno local, módulo de validación aislado (sin BD real)</t>
  </si>
  <si>
    <t>CPI-12</t>
  </si>
  <si>
    <t>Se ejecuta el flujo completo desde que el Supervisor modifica los umbrales, hasta que el sistema los guarda y los aplica correctamente en un nuevo cálculo de índice de riesgo posterior.</t>
  </si>
  <si>
    <t>Entorno de pruebas con BD de prueba y umbrales previamente configurados</t>
  </si>
  <si>
    <t>Contar con un canal listo para generar un nuevo análisis tras el cambio de umbrales</t>
  </si>
  <si>
    <t>CPA-12</t>
  </si>
  <si>
    <t>Desde la perspectiva del usuario, se valida que el Supervisor pueda modificar los valores de cada nivel de riesgo de forma sencilla, recibiendo retroalimentación clara ante valores inconsistentes, y que el cambio se refleje en los cálculos posteriores.</t>
  </si>
  <si>
    <t>Entorno Beta, con acceso real de un usuario Supervisor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</si>
</sst>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color theme="1"/>
      <name val="Calibri"/>
    </font>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2" numFmtId="0" xfId="0" applyAlignment="1" applyBorder="1" applyFill="1" applyFont="1">
      <alignment readingOrder="0" shrinkToFit="0" vertical="bottom" wrapText="0"/>
    </xf>
    <xf borderId="2" fillId="3" fontId="4"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1" fillId="2" fontId="4" numFmtId="0" xfId="0" applyAlignment="1" applyBorder="1" applyFill="1" applyFont="1">
      <alignment shrinkToFit="0" vertical="bottom" wrapText="0"/>
    </xf>
    <xf borderId="2" fillId="0" fontId="2" numFmtId="0" xfId="0" applyAlignment="1" applyBorder="1" applyFont="1">
      <alignment horizontal="center" readingOrder="0" shrinkToFit="0" vertical="center" wrapText="0"/>
    </xf>
    <xf borderId="2" fillId="4" fontId="5" numFmtId="0" xfId="0" applyAlignment="1" applyBorder="1" applyFill="1" applyFont="1">
      <alignment shrinkToFit="0" vertical="bottom" wrapText="0"/>
    </xf>
    <xf borderId="2" fillId="2" fontId="2" numFmtId="0" xfId="0" applyAlignment="1" applyBorder="1" applyFill="1" applyFont="1">
      <alignment horizontal="center" readingOrder="0" shrinkToFit="0" vertical="center" wrapText="1"/>
    </xf>
    <xf borderId="2" fillId="2" fontId="2" numFmtId="0" xfId="0" applyAlignment="1" applyBorder="1" applyFill="1" applyFont="1">
      <alignment horizontal="center" readingOrder="0" shrinkToFit="0" vertical="center" wrapText="0"/>
    </xf>
    <xf borderId="2" fillId="0" fontId="6" numFmtId="0" xfId="0" applyAlignment="1" applyBorder="1" applyFont="1">
      <alignment horizontal="center" shrinkToFit="0" vertical="center" wrapText="1"/>
    </xf>
    <xf borderId="2" fillId="2" fontId="2" numFmtId="164" xfId="0" applyAlignment="1" applyBorder="1" applyFill="1" applyFont="1" applyNumberFormat="1">
      <alignment horizontal="center" readingOrder="0" shrinkToFit="0" vertical="center" wrapText="0"/>
    </xf>
    <xf borderId="2" fillId="2" fontId="2" numFmtId="0" xfId="0" applyAlignment="1" applyBorder="1" applyFill="1" applyFont="1">
      <alignment horizontal="left" shrinkToFit="0" vertical="top" wrapText="1"/>
    </xf>
    <xf borderId="2" fillId="2" fontId="2" numFmtId="0" xfId="0" applyAlignment="1" applyBorder="1" applyFill="1" applyFont="1">
      <alignment shrinkToFit="0" vertical="bottom" wrapText="0"/>
    </xf>
    <xf borderId="2" fillId="0" fontId="6" numFmtId="0" xfId="0" applyAlignment="1" applyBorder="1" applyFont="1">
      <alignment horizontal="center" readingOrder="0" shrinkToFit="0" vertical="center" wrapText="1"/>
    </xf>
    <xf borderId="3" fillId="2" fontId="2" numFmtId="0" xfId="0" applyAlignment="1" applyBorder="1" applyFill="1" applyFont="1">
      <alignment horizontal="left" shrinkToFit="0" vertical="top" wrapText="1"/>
    </xf>
    <xf borderId="4" fillId="2" fontId="2" numFmtId="0" xfId="0" applyAlignment="1" applyBorder="1" applyFill="1" applyFont="1">
      <alignment horizontal="left" shrinkToFit="0" vertical="top" wrapText="1"/>
    </xf>
    <xf borderId="5" fillId="2" fontId="4" numFmtId="0" xfId="0" applyAlignment="1" applyBorder="1" applyFill="1" applyFont="1">
      <alignment horizontal="left" shrinkToFit="0" vertical="top" wrapText="1"/>
    </xf>
    <xf borderId="6" fillId="0" fontId="7" numFmtId="0" xfId="0" applyBorder="1" applyFont="1"/>
    <xf borderId="2" fillId="0" fontId="8" numFmtId="0" xfId="0" applyAlignment="1" applyBorder="1" applyFont="1">
      <alignment horizontal="center" readingOrder="0" shrinkToFit="0" vertical="center" wrapText="1"/>
    </xf>
    <xf borderId="2" fillId="0" fontId="8" numFmtId="0" xfId="0" applyAlignment="1" applyBorder="1" applyFont="1">
      <alignment horizontal="center" readingOrder="0" vertical="center"/>
    </xf>
    <xf borderId="7" fillId="2" fontId="2"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1.43"/>
    <col customWidth="1" min="3" max="3" width="25.0"/>
    <col customWidth="1" min="4" max="4" width="21.71"/>
    <col customWidth="1" min="5" max="5" width="25.0"/>
    <col customWidth="1" min="6" max="6" width="24.86"/>
    <col customWidth="1" min="7" max="7" width="48.14"/>
    <col customWidth="1" min="8" max="8" width="13.71"/>
    <col customWidth="1" min="9" max="9" width="20.71"/>
    <col customWidth="1" min="10" max="10" width="19.71"/>
    <col customWidth="1" min="11" max="11" width="31.14"/>
    <col customWidth="1" min="12" max="12" width="31.86"/>
    <col customWidth="1" min="13" max="15" width="26.71"/>
    <col customWidth="1" min="16" max="16" width="30.29"/>
    <col customWidth="1" min="17" max="17" width="10.71"/>
    <col customWidth="1" min="18" max="18" width="21.71"/>
    <col customWidth="1" min="19" max="19" width="32.43"/>
    <col customWidth="1" min="20"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4" t="s">
        <v>1</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5" t="s">
        <v>2</v>
      </c>
      <c r="Q5" s="2"/>
      <c r="R5" s="2"/>
      <c r="S5" s="2"/>
      <c r="T5" s="2"/>
      <c r="U5" s="2"/>
      <c r="V5" s="2"/>
      <c r="W5" s="2"/>
      <c r="X5" s="2"/>
      <c r="Y5" s="2"/>
      <c r="Z5" s="2"/>
    </row>
    <row r="6" ht="30.0" customHeight="1">
      <c r="A6" s="6" t="s">
        <v>3</v>
      </c>
      <c r="B6" s="6" t="s">
        <v>4</v>
      </c>
      <c r="C6" s="6" t="s">
        <v>5</v>
      </c>
      <c r="D6" s="6" t="s">
        <v>6</v>
      </c>
      <c r="E6" s="6" t="s">
        <v>7</v>
      </c>
      <c r="F6" s="6" t="s">
        <v>8</v>
      </c>
      <c r="G6" s="6" t="s">
        <v>9</v>
      </c>
      <c r="H6" s="6" t="s">
        <v>10</v>
      </c>
      <c r="I6" s="6" t="s">
        <v>11</v>
      </c>
      <c r="J6" s="6" t="s">
        <v>12</v>
      </c>
      <c r="K6" s="6" t="s">
        <v>14</v>
      </c>
      <c r="L6" s="6" t="s">
        <v>15</v>
      </c>
      <c r="M6" s="6" t="s">
        <v>16</v>
      </c>
      <c r="N6" s="6" t="s">
        <v>17</v>
      </c>
      <c r="O6" s="6" t="s">
        <v>18</v>
      </c>
      <c r="P6" s="5" t="s">
        <v>19</v>
      </c>
      <c r="Q6" s="5" t="s">
        <v>20</v>
      </c>
      <c r="R6" s="5" t="s">
        <v>21</v>
      </c>
      <c r="S6" s="5" t="s">
        <v>22</v>
      </c>
      <c r="T6" s="2"/>
      <c r="U6" s="2"/>
      <c r="V6" s="2"/>
      <c r="W6" s="2"/>
      <c r="X6" s="2"/>
      <c r="Y6" s="2"/>
      <c r="Z6" s="2"/>
    </row>
    <row r="7">
      <c r="A7" s="8" t="s">
        <v>23</v>
      </c>
      <c r="B7" s="10" t="s">
        <v>25</v>
      </c>
      <c r="C7" s="11" t="s">
        <v>29</v>
      </c>
      <c r="D7" s="12" t="s">
        <v>30</v>
      </c>
      <c r="E7" s="11" t="s">
        <v>31</v>
      </c>
      <c r="F7" s="10" t="s">
        <v>32</v>
      </c>
      <c r="G7" s="10" t="s">
        <v>33</v>
      </c>
      <c r="H7" s="13">
        <v>46279.0</v>
      </c>
      <c r="I7" s="10" t="s">
        <v>34</v>
      </c>
      <c r="J7" s="10" t="s">
        <v>35</v>
      </c>
      <c r="K7" s="10" t="s">
        <v>36</v>
      </c>
      <c r="L7" s="12" t="s">
        <v>37</v>
      </c>
      <c r="M7" s="12" t="s">
        <v>39</v>
      </c>
      <c r="N7" s="12" t="s">
        <v>40</v>
      </c>
      <c r="O7" s="12" t="s">
        <v>41</v>
      </c>
      <c r="P7" s="15"/>
      <c r="Q7" s="15"/>
      <c r="R7" s="15"/>
      <c r="S7" s="15"/>
      <c r="T7" s="2"/>
      <c r="U7" s="2"/>
      <c r="V7" s="2"/>
      <c r="W7" s="2"/>
      <c r="X7" s="2"/>
      <c r="Y7" s="2"/>
      <c r="Z7" s="2"/>
    </row>
    <row r="8">
      <c r="A8" s="8" t="s">
        <v>43</v>
      </c>
      <c r="B8" s="10" t="s">
        <v>25</v>
      </c>
      <c r="C8" s="11" t="s">
        <v>44</v>
      </c>
      <c r="D8" s="12" t="s">
        <v>45</v>
      </c>
      <c r="E8" s="11" t="s">
        <v>46</v>
      </c>
      <c r="F8" s="10" t="s">
        <v>47</v>
      </c>
      <c r="G8" s="10" t="s">
        <v>48</v>
      </c>
      <c r="H8" s="13">
        <v>46279.0</v>
      </c>
      <c r="I8" s="10" t="s">
        <v>34</v>
      </c>
      <c r="J8" s="16" t="s">
        <v>49</v>
      </c>
      <c r="K8" s="10" t="s">
        <v>51</v>
      </c>
      <c r="L8" s="12" t="s">
        <v>53</v>
      </c>
      <c r="M8" s="16" t="s">
        <v>23</v>
      </c>
      <c r="N8" s="12" t="s">
        <v>40</v>
      </c>
      <c r="O8" s="12" t="s">
        <v>41</v>
      </c>
      <c r="P8" s="15"/>
      <c r="Q8" s="15"/>
      <c r="R8" s="15"/>
      <c r="S8" s="15"/>
      <c r="T8" s="2"/>
      <c r="U8" s="2"/>
      <c r="V8" s="2"/>
      <c r="W8" s="2"/>
      <c r="X8" s="2"/>
      <c r="Y8" s="2"/>
      <c r="Z8" s="2"/>
    </row>
    <row r="9">
      <c r="A9" s="8" t="s">
        <v>54</v>
      </c>
      <c r="B9" s="10" t="s">
        <v>25</v>
      </c>
      <c r="C9" s="11" t="s">
        <v>55</v>
      </c>
      <c r="D9" s="12" t="s">
        <v>56</v>
      </c>
      <c r="E9" s="11" t="s">
        <v>57</v>
      </c>
      <c r="F9" s="10" t="s">
        <v>58</v>
      </c>
      <c r="G9" s="10" t="s">
        <v>59</v>
      </c>
      <c r="H9" s="13">
        <v>46279.0</v>
      </c>
      <c r="I9" s="10" t="s">
        <v>34</v>
      </c>
      <c r="J9" s="16" t="s">
        <v>60</v>
      </c>
      <c r="K9" s="10" t="s">
        <v>61</v>
      </c>
      <c r="L9" s="12" t="s">
        <v>62</v>
      </c>
      <c r="M9" s="16" t="s">
        <v>43</v>
      </c>
      <c r="N9" s="12" t="s">
        <v>27</v>
      </c>
      <c r="O9" s="12" t="s">
        <v>64</v>
      </c>
      <c r="P9" s="15"/>
      <c r="Q9" s="15"/>
      <c r="R9" s="15"/>
      <c r="S9" s="15"/>
      <c r="T9" s="2"/>
      <c r="U9" s="2"/>
      <c r="V9" s="2"/>
      <c r="W9" s="2"/>
      <c r="X9" s="2"/>
      <c r="Y9" s="2"/>
      <c r="Z9" s="2"/>
    </row>
    <row r="10">
      <c r="A10" s="8" t="s">
        <v>66</v>
      </c>
      <c r="B10" s="10" t="s">
        <v>67</v>
      </c>
      <c r="C10" s="11" t="s">
        <v>29</v>
      </c>
      <c r="D10" s="12" t="s">
        <v>30</v>
      </c>
      <c r="E10" s="11" t="s">
        <v>31</v>
      </c>
      <c r="F10" s="10" t="s">
        <v>32</v>
      </c>
      <c r="G10" s="10" t="s">
        <v>69</v>
      </c>
      <c r="H10" s="13">
        <v>46279.0</v>
      </c>
      <c r="I10" s="10" t="s">
        <v>34</v>
      </c>
      <c r="J10" s="16" t="s">
        <v>70</v>
      </c>
      <c r="K10" s="10" t="s">
        <v>36</v>
      </c>
      <c r="L10" s="12" t="s">
        <v>71</v>
      </c>
      <c r="M10" s="16" t="s">
        <v>23</v>
      </c>
      <c r="N10" s="12" t="s">
        <v>40</v>
      </c>
      <c r="O10" s="12" t="s">
        <v>41</v>
      </c>
      <c r="P10" s="15"/>
      <c r="Q10" s="15"/>
      <c r="R10" s="15"/>
      <c r="S10" s="15"/>
      <c r="T10" s="2"/>
      <c r="U10" s="2"/>
      <c r="V10" s="2"/>
      <c r="W10" s="2"/>
      <c r="X10" s="2"/>
      <c r="Y10" s="2"/>
      <c r="Z10" s="2"/>
    </row>
    <row r="11">
      <c r="A11" s="8" t="s">
        <v>73</v>
      </c>
      <c r="B11" s="10" t="s">
        <v>67</v>
      </c>
      <c r="C11" s="11" t="s">
        <v>44</v>
      </c>
      <c r="D11" s="12" t="s">
        <v>74</v>
      </c>
      <c r="E11" s="11" t="s">
        <v>46</v>
      </c>
      <c r="F11" s="10" t="s">
        <v>47</v>
      </c>
      <c r="G11" s="10" t="s">
        <v>75</v>
      </c>
      <c r="H11" s="13">
        <v>46279.0</v>
      </c>
      <c r="I11" s="10" t="s">
        <v>34</v>
      </c>
      <c r="J11" s="16" t="s">
        <v>77</v>
      </c>
      <c r="K11" s="12" t="s">
        <v>51</v>
      </c>
      <c r="L11" s="12" t="s">
        <v>78</v>
      </c>
      <c r="M11" s="16" t="s">
        <v>79</v>
      </c>
      <c r="N11" s="12" t="s">
        <v>40</v>
      </c>
      <c r="O11" s="12" t="s">
        <v>41</v>
      </c>
      <c r="P11" s="15"/>
      <c r="Q11" s="15"/>
      <c r="R11" s="15"/>
      <c r="S11" s="15"/>
      <c r="T11" s="2"/>
      <c r="U11" s="2"/>
      <c r="V11" s="2"/>
      <c r="W11" s="2"/>
      <c r="X11" s="2"/>
      <c r="Y11" s="2"/>
      <c r="Z11" s="2"/>
    </row>
    <row r="12">
      <c r="A12" s="8" t="s">
        <v>80</v>
      </c>
      <c r="B12" s="10" t="s">
        <v>67</v>
      </c>
      <c r="C12" s="11" t="s">
        <v>55</v>
      </c>
      <c r="D12" s="12" t="s">
        <v>56</v>
      </c>
      <c r="E12" s="11" t="s">
        <v>57</v>
      </c>
      <c r="F12" s="10" t="s">
        <v>58</v>
      </c>
      <c r="G12" s="10" t="s">
        <v>82</v>
      </c>
      <c r="H12" s="13">
        <v>46279.0</v>
      </c>
      <c r="I12" s="10" t="s">
        <v>34</v>
      </c>
      <c r="J12" s="16" t="s">
        <v>84</v>
      </c>
      <c r="K12" s="12" t="s">
        <v>61</v>
      </c>
      <c r="L12" s="12" t="s">
        <v>85</v>
      </c>
      <c r="M12" s="16" t="s">
        <v>73</v>
      </c>
      <c r="N12" s="12" t="s">
        <v>27</v>
      </c>
      <c r="O12" s="12" t="s">
        <v>64</v>
      </c>
      <c r="P12" s="15"/>
      <c r="Q12" s="15"/>
      <c r="R12" s="15"/>
      <c r="S12" s="15"/>
      <c r="T12" s="2"/>
      <c r="U12" s="2"/>
      <c r="V12" s="2"/>
      <c r="W12" s="2"/>
      <c r="X12" s="2"/>
      <c r="Y12" s="2"/>
      <c r="Z12" s="2"/>
    </row>
    <row r="13">
      <c r="A13" s="8" t="s">
        <v>86</v>
      </c>
      <c r="B13" s="10" t="s">
        <v>87</v>
      </c>
      <c r="C13" s="11" t="s">
        <v>29</v>
      </c>
      <c r="D13" s="12" t="s">
        <v>30</v>
      </c>
      <c r="E13" s="11" t="s">
        <v>31</v>
      </c>
      <c r="F13" s="10" t="s">
        <v>32</v>
      </c>
      <c r="G13" s="10" t="s">
        <v>89</v>
      </c>
      <c r="H13" s="13">
        <v>46279.0</v>
      </c>
      <c r="I13" s="10" t="s">
        <v>91</v>
      </c>
      <c r="J13" s="16" t="s">
        <v>92</v>
      </c>
      <c r="K13" s="12" t="s">
        <v>51</v>
      </c>
      <c r="L13" s="12" t="s">
        <v>93</v>
      </c>
      <c r="M13" s="16" t="s">
        <v>66</v>
      </c>
      <c r="N13" s="12" t="s">
        <v>40</v>
      </c>
      <c r="O13" s="12" t="s">
        <v>41</v>
      </c>
      <c r="P13" s="15"/>
      <c r="Q13" s="15"/>
      <c r="R13" s="15"/>
      <c r="S13" s="15"/>
      <c r="T13" s="2"/>
      <c r="U13" s="2"/>
      <c r="V13" s="2"/>
      <c r="W13" s="2"/>
      <c r="X13" s="2"/>
      <c r="Y13" s="2"/>
      <c r="Z13" s="2"/>
    </row>
    <row r="14">
      <c r="A14" s="8" t="s">
        <v>94</v>
      </c>
      <c r="B14" s="10" t="s">
        <v>87</v>
      </c>
      <c r="C14" s="11" t="s">
        <v>44</v>
      </c>
      <c r="D14" s="12" t="s">
        <v>96</v>
      </c>
      <c r="E14" s="11" t="s">
        <v>46</v>
      </c>
      <c r="F14" s="10" t="s">
        <v>47</v>
      </c>
      <c r="G14" s="10" t="s">
        <v>98</v>
      </c>
      <c r="H14" s="13">
        <v>46279.0</v>
      </c>
      <c r="I14" s="10" t="s">
        <v>91</v>
      </c>
      <c r="J14" s="16" t="s">
        <v>99</v>
      </c>
      <c r="K14" s="12" t="s">
        <v>51</v>
      </c>
      <c r="L14" s="12" t="s">
        <v>100</v>
      </c>
      <c r="M14" s="16" t="s">
        <v>101</v>
      </c>
      <c r="N14" s="12" t="s">
        <v>40</v>
      </c>
      <c r="O14" s="12" t="s">
        <v>41</v>
      </c>
      <c r="P14" s="15"/>
      <c r="Q14" s="15"/>
      <c r="R14" s="15"/>
      <c r="S14" s="15"/>
      <c r="T14" s="2"/>
      <c r="U14" s="2"/>
      <c r="V14" s="2"/>
      <c r="W14" s="2"/>
      <c r="X14" s="2"/>
      <c r="Y14" s="2"/>
      <c r="Z14" s="2"/>
    </row>
    <row r="15">
      <c r="A15" s="8" t="s">
        <v>102</v>
      </c>
      <c r="B15" s="10" t="s">
        <v>87</v>
      </c>
      <c r="C15" s="11" t="s">
        <v>55</v>
      </c>
      <c r="D15" s="12" t="s">
        <v>56</v>
      </c>
      <c r="E15" s="11" t="s">
        <v>57</v>
      </c>
      <c r="F15" s="10" t="s">
        <v>58</v>
      </c>
      <c r="G15" s="10" t="s">
        <v>103</v>
      </c>
      <c r="H15" s="13">
        <v>46279.0</v>
      </c>
      <c r="I15" s="10" t="s">
        <v>91</v>
      </c>
      <c r="J15" s="16" t="s">
        <v>104</v>
      </c>
      <c r="K15" s="12" t="s">
        <v>61</v>
      </c>
      <c r="L15" s="12" t="s">
        <v>106</v>
      </c>
      <c r="M15" s="16" t="s">
        <v>94</v>
      </c>
      <c r="N15" s="12" t="s">
        <v>27</v>
      </c>
      <c r="O15" s="12" t="s">
        <v>64</v>
      </c>
      <c r="P15" s="15"/>
      <c r="Q15" s="15"/>
      <c r="R15" s="15"/>
      <c r="S15" s="15"/>
      <c r="T15" s="2"/>
      <c r="U15" s="2"/>
      <c r="V15" s="2"/>
      <c r="W15" s="2"/>
      <c r="X15" s="2"/>
      <c r="Y15" s="2"/>
      <c r="Z15" s="2"/>
    </row>
    <row r="16">
      <c r="A16" s="8" t="s">
        <v>108</v>
      </c>
      <c r="B16" s="10" t="s">
        <v>109</v>
      </c>
      <c r="C16" s="11" t="s">
        <v>29</v>
      </c>
      <c r="D16" s="12" t="s">
        <v>110</v>
      </c>
      <c r="E16" s="11" t="s">
        <v>31</v>
      </c>
      <c r="F16" s="10" t="s">
        <v>32</v>
      </c>
      <c r="G16" s="10" t="s">
        <v>111</v>
      </c>
      <c r="H16" s="13">
        <v>46279.0</v>
      </c>
      <c r="I16" s="10" t="s">
        <v>91</v>
      </c>
      <c r="J16" s="16" t="s">
        <v>112</v>
      </c>
      <c r="K16" s="12" t="s">
        <v>113</v>
      </c>
      <c r="L16" s="12" t="s">
        <v>114</v>
      </c>
      <c r="M16" s="16" t="s">
        <v>86</v>
      </c>
      <c r="N16" s="12" t="s">
        <v>40</v>
      </c>
      <c r="O16" s="12" t="s">
        <v>41</v>
      </c>
      <c r="P16" s="15"/>
      <c r="Q16" s="15"/>
      <c r="R16" s="15"/>
      <c r="S16" s="15"/>
      <c r="T16" s="2"/>
      <c r="U16" s="2"/>
      <c r="V16" s="2"/>
      <c r="W16" s="2"/>
      <c r="X16" s="2"/>
      <c r="Y16" s="2"/>
      <c r="Z16" s="2"/>
    </row>
    <row r="17">
      <c r="A17" s="8" t="s">
        <v>115</v>
      </c>
      <c r="B17" s="10" t="s">
        <v>109</v>
      </c>
      <c r="C17" s="11" t="s">
        <v>44</v>
      </c>
      <c r="D17" s="12" t="s">
        <v>116</v>
      </c>
      <c r="E17" s="11" t="s">
        <v>46</v>
      </c>
      <c r="F17" s="10" t="s">
        <v>47</v>
      </c>
      <c r="G17" s="10" t="s">
        <v>118</v>
      </c>
      <c r="H17" s="13">
        <v>46279.0</v>
      </c>
      <c r="I17" s="10" t="s">
        <v>91</v>
      </c>
      <c r="J17" s="16" t="s">
        <v>119</v>
      </c>
      <c r="K17" s="12" t="s">
        <v>113</v>
      </c>
      <c r="L17" s="12" t="s">
        <v>120</v>
      </c>
      <c r="M17" s="16" t="s">
        <v>121</v>
      </c>
      <c r="N17" s="12" t="s">
        <v>40</v>
      </c>
      <c r="O17" s="12" t="s">
        <v>41</v>
      </c>
      <c r="P17" s="15"/>
      <c r="Q17" s="15"/>
      <c r="R17" s="15"/>
      <c r="S17" s="15"/>
      <c r="T17" s="2"/>
      <c r="U17" s="2"/>
      <c r="V17" s="2"/>
      <c r="W17" s="2"/>
      <c r="X17" s="2"/>
      <c r="Y17" s="2"/>
      <c r="Z17" s="2"/>
    </row>
    <row r="18">
      <c r="A18" s="8" t="s">
        <v>122</v>
      </c>
      <c r="B18" s="10" t="s">
        <v>109</v>
      </c>
      <c r="C18" s="11" t="s">
        <v>55</v>
      </c>
      <c r="D18" s="12" t="s">
        <v>56</v>
      </c>
      <c r="E18" s="11" t="s">
        <v>57</v>
      </c>
      <c r="F18" s="10" t="s">
        <v>58</v>
      </c>
      <c r="G18" s="10" t="s">
        <v>123</v>
      </c>
      <c r="H18" s="13">
        <v>46279.0</v>
      </c>
      <c r="I18" s="10" t="s">
        <v>91</v>
      </c>
      <c r="J18" s="16" t="s">
        <v>125</v>
      </c>
      <c r="K18" s="12" t="s">
        <v>61</v>
      </c>
      <c r="L18" s="12" t="s">
        <v>126</v>
      </c>
      <c r="M18" s="16" t="s">
        <v>115</v>
      </c>
      <c r="N18" s="12" t="s">
        <v>27</v>
      </c>
      <c r="O18" s="12" t="s">
        <v>64</v>
      </c>
      <c r="P18" s="15"/>
      <c r="Q18" s="15"/>
      <c r="R18" s="15"/>
      <c r="S18" s="15"/>
      <c r="T18" s="2"/>
      <c r="U18" s="2"/>
      <c r="V18" s="2"/>
      <c r="W18" s="2"/>
      <c r="X18" s="2"/>
      <c r="Y18" s="2"/>
      <c r="Z18" s="2"/>
    </row>
    <row r="19">
      <c r="A19" s="8" t="s">
        <v>127</v>
      </c>
      <c r="B19" s="10" t="s">
        <v>128</v>
      </c>
      <c r="C19" s="11" t="s">
        <v>29</v>
      </c>
      <c r="D19" s="12" t="s">
        <v>30</v>
      </c>
      <c r="E19" s="11" t="s">
        <v>31</v>
      </c>
      <c r="F19" s="10" t="s">
        <v>32</v>
      </c>
      <c r="G19" s="10" t="s">
        <v>130</v>
      </c>
      <c r="H19" s="13">
        <v>46279.0</v>
      </c>
      <c r="I19" s="10" t="s">
        <v>91</v>
      </c>
      <c r="J19" s="16" t="s">
        <v>131</v>
      </c>
      <c r="K19" s="12" t="s">
        <v>132</v>
      </c>
      <c r="L19" s="12" t="s">
        <v>133</v>
      </c>
      <c r="M19" s="16" t="s">
        <v>108</v>
      </c>
      <c r="N19" s="12" t="s">
        <v>40</v>
      </c>
      <c r="O19" s="12" t="s">
        <v>41</v>
      </c>
      <c r="P19" s="15"/>
      <c r="Q19" s="15"/>
      <c r="R19" s="15"/>
      <c r="S19" s="15"/>
      <c r="T19" s="2"/>
      <c r="U19" s="2"/>
      <c r="V19" s="2"/>
      <c r="W19" s="2"/>
      <c r="X19" s="2"/>
      <c r="Y19" s="2"/>
      <c r="Z19" s="2"/>
    </row>
    <row r="20">
      <c r="A20" s="8" t="s">
        <v>135</v>
      </c>
      <c r="B20" s="10" t="s">
        <v>128</v>
      </c>
      <c r="C20" s="11" t="s">
        <v>44</v>
      </c>
      <c r="D20" s="12" t="s">
        <v>137</v>
      </c>
      <c r="E20" s="11" t="s">
        <v>46</v>
      </c>
      <c r="F20" s="10" t="s">
        <v>47</v>
      </c>
      <c r="G20" s="10" t="s">
        <v>138</v>
      </c>
      <c r="H20" s="13">
        <v>46279.0</v>
      </c>
      <c r="I20" s="10" t="s">
        <v>91</v>
      </c>
      <c r="J20" s="16" t="s">
        <v>139</v>
      </c>
      <c r="K20" s="12" t="s">
        <v>132</v>
      </c>
      <c r="L20" s="12" t="s">
        <v>140</v>
      </c>
      <c r="M20" s="16" t="s">
        <v>141</v>
      </c>
      <c r="N20" s="12" t="s">
        <v>40</v>
      </c>
      <c r="O20" s="12" t="s">
        <v>41</v>
      </c>
      <c r="P20" s="15"/>
      <c r="Q20" s="15"/>
      <c r="R20" s="15"/>
      <c r="S20" s="15"/>
      <c r="T20" s="2"/>
      <c r="U20" s="2"/>
      <c r="V20" s="2"/>
      <c r="W20" s="2"/>
      <c r="X20" s="2"/>
      <c r="Y20" s="2"/>
      <c r="Z20" s="2"/>
    </row>
    <row r="21" ht="15.75" customHeight="1">
      <c r="A21" s="8" t="s">
        <v>143</v>
      </c>
      <c r="B21" s="10" t="s">
        <v>128</v>
      </c>
      <c r="C21" s="11" t="s">
        <v>55</v>
      </c>
      <c r="D21" s="12" t="s">
        <v>56</v>
      </c>
      <c r="E21" s="11" t="s">
        <v>57</v>
      </c>
      <c r="F21" s="10" t="s">
        <v>58</v>
      </c>
      <c r="G21" s="10" t="s">
        <v>144</v>
      </c>
      <c r="H21" s="13">
        <v>46279.0</v>
      </c>
      <c r="I21" s="10" t="s">
        <v>91</v>
      </c>
      <c r="J21" s="16" t="s">
        <v>145</v>
      </c>
      <c r="K21" s="12" t="s">
        <v>61</v>
      </c>
      <c r="L21" s="12" t="s">
        <v>146</v>
      </c>
      <c r="M21" s="16" t="s">
        <v>135</v>
      </c>
      <c r="N21" s="12" t="s">
        <v>27</v>
      </c>
      <c r="O21" s="12" t="s">
        <v>64</v>
      </c>
      <c r="P21" s="15"/>
      <c r="Q21" s="15"/>
      <c r="R21" s="15"/>
      <c r="S21" s="15"/>
      <c r="T21" s="2"/>
      <c r="U21" s="2"/>
      <c r="V21" s="2"/>
      <c r="W21" s="2"/>
      <c r="X21" s="2"/>
      <c r="Y21" s="2"/>
      <c r="Z21" s="2"/>
    </row>
    <row r="22" ht="15.75" customHeight="1">
      <c r="A22" s="8" t="s">
        <v>148</v>
      </c>
      <c r="B22" s="10" t="s">
        <v>149</v>
      </c>
      <c r="C22" s="11" t="s">
        <v>29</v>
      </c>
      <c r="D22" s="12" t="s">
        <v>30</v>
      </c>
      <c r="E22" s="11" t="s">
        <v>31</v>
      </c>
      <c r="F22" s="10" t="s">
        <v>32</v>
      </c>
      <c r="G22" s="10" t="s">
        <v>150</v>
      </c>
      <c r="H22" s="13">
        <v>46279.0</v>
      </c>
      <c r="I22" s="10" t="s">
        <v>91</v>
      </c>
      <c r="J22" s="16" t="s">
        <v>151</v>
      </c>
      <c r="K22" s="12" t="s">
        <v>152</v>
      </c>
      <c r="L22" s="12" t="s">
        <v>153</v>
      </c>
      <c r="M22" s="12" t="s">
        <v>39</v>
      </c>
      <c r="N22" s="12" t="s">
        <v>40</v>
      </c>
      <c r="O22" s="12" t="s">
        <v>41</v>
      </c>
      <c r="P22" s="15"/>
      <c r="Q22" s="15"/>
      <c r="R22" s="15"/>
      <c r="S22" s="15"/>
      <c r="T22" s="2"/>
      <c r="U22" s="2"/>
      <c r="V22" s="2"/>
      <c r="W22" s="2"/>
      <c r="X22" s="2"/>
      <c r="Y22" s="2"/>
      <c r="Z22" s="2"/>
    </row>
    <row r="23" ht="15.75" customHeight="1">
      <c r="A23" s="8" t="s">
        <v>154</v>
      </c>
      <c r="B23" s="10" t="s">
        <v>149</v>
      </c>
      <c r="C23" s="11" t="s">
        <v>44</v>
      </c>
      <c r="D23" s="12" t="s">
        <v>156</v>
      </c>
      <c r="E23" s="11" t="s">
        <v>46</v>
      </c>
      <c r="F23" s="10" t="s">
        <v>47</v>
      </c>
      <c r="G23" s="10" t="s">
        <v>157</v>
      </c>
      <c r="H23" s="13">
        <v>46279.0</v>
      </c>
      <c r="I23" s="10" t="s">
        <v>91</v>
      </c>
      <c r="J23" s="16" t="s">
        <v>158</v>
      </c>
      <c r="K23" s="12" t="s">
        <v>152</v>
      </c>
      <c r="L23" s="12" t="s">
        <v>159</v>
      </c>
      <c r="M23" s="16" t="s">
        <v>160</v>
      </c>
      <c r="N23" s="12" t="s">
        <v>40</v>
      </c>
      <c r="O23" s="12" t="s">
        <v>41</v>
      </c>
      <c r="P23" s="15"/>
      <c r="Q23" s="15"/>
      <c r="R23" s="15"/>
      <c r="S23" s="15"/>
      <c r="T23" s="2"/>
      <c r="U23" s="2"/>
      <c r="V23" s="2"/>
      <c r="W23" s="2"/>
      <c r="X23" s="2"/>
      <c r="Y23" s="2"/>
      <c r="Z23" s="2"/>
    </row>
    <row r="24" ht="15.75" customHeight="1">
      <c r="A24" s="8" t="s">
        <v>161</v>
      </c>
      <c r="B24" s="10" t="s">
        <v>149</v>
      </c>
      <c r="C24" s="11" t="s">
        <v>55</v>
      </c>
      <c r="D24" s="12" t="s">
        <v>56</v>
      </c>
      <c r="E24" s="11" t="s">
        <v>57</v>
      </c>
      <c r="F24" s="10" t="s">
        <v>58</v>
      </c>
      <c r="G24" s="10" t="s">
        <v>163</v>
      </c>
      <c r="H24" s="13">
        <v>46279.0</v>
      </c>
      <c r="I24" s="10" t="s">
        <v>91</v>
      </c>
      <c r="J24" s="16" t="s">
        <v>164</v>
      </c>
      <c r="K24" s="12" t="s">
        <v>61</v>
      </c>
      <c r="L24" s="12" t="s">
        <v>166</v>
      </c>
      <c r="M24" s="16" t="s">
        <v>154</v>
      </c>
      <c r="N24" s="12" t="s">
        <v>27</v>
      </c>
      <c r="O24" s="12" t="s">
        <v>64</v>
      </c>
      <c r="P24" s="15"/>
      <c r="Q24" s="15"/>
      <c r="R24" s="15"/>
      <c r="S24" s="15"/>
      <c r="T24" s="2"/>
      <c r="U24" s="2"/>
      <c r="V24" s="2"/>
      <c r="W24" s="2"/>
      <c r="X24" s="2"/>
      <c r="Y24" s="2"/>
      <c r="Z24" s="2"/>
    </row>
    <row r="25" ht="15.75" customHeight="1">
      <c r="A25" s="11" t="s">
        <v>167</v>
      </c>
      <c r="B25" s="10" t="s">
        <v>168</v>
      </c>
      <c r="C25" s="11" t="s">
        <v>29</v>
      </c>
      <c r="D25" s="11" t="s">
        <v>169</v>
      </c>
      <c r="E25" s="11" t="s">
        <v>31</v>
      </c>
      <c r="F25" s="10" t="s">
        <v>32</v>
      </c>
      <c r="G25" s="10" t="s">
        <v>171</v>
      </c>
      <c r="H25" s="13">
        <v>46279.0</v>
      </c>
      <c r="I25" s="10" t="s">
        <v>172</v>
      </c>
      <c r="J25" s="10" t="s">
        <v>173</v>
      </c>
      <c r="K25" s="10" t="s">
        <v>174</v>
      </c>
      <c r="L25" s="10" t="s">
        <v>175</v>
      </c>
      <c r="M25" s="11" t="s">
        <v>39</v>
      </c>
      <c r="N25" s="11" t="s">
        <v>40</v>
      </c>
      <c r="O25" s="11" t="s">
        <v>41</v>
      </c>
      <c r="P25" s="15"/>
      <c r="Q25" s="15"/>
      <c r="R25" s="15"/>
      <c r="S25" s="15"/>
      <c r="T25" s="2"/>
      <c r="U25" s="2"/>
      <c r="V25" s="2"/>
      <c r="W25" s="2"/>
      <c r="X25" s="2"/>
      <c r="Y25" s="2"/>
      <c r="Z25" s="2"/>
    </row>
    <row r="26" ht="15.75" customHeight="1">
      <c r="A26" s="11" t="s">
        <v>176</v>
      </c>
      <c r="B26" s="10" t="s">
        <v>168</v>
      </c>
      <c r="C26" s="11" t="s">
        <v>44</v>
      </c>
      <c r="D26" s="11" t="s">
        <v>177</v>
      </c>
      <c r="E26" s="11" t="s">
        <v>46</v>
      </c>
      <c r="F26" s="10" t="s">
        <v>47</v>
      </c>
      <c r="G26" s="10" t="s">
        <v>178</v>
      </c>
      <c r="H26" s="13">
        <v>46279.0</v>
      </c>
      <c r="I26" s="10" t="s">
        <v>172</v>
      </c>
      <c r="J26" s="10" t="s">
        <v>173</v>
      </c>
      <c r="K26" s="10" t="s">
        <v>179</v>
      </c>
      <c r="L26" s="10" t="s">
        <v>180</v>
      </c>
      <c r="M26" s="11" t="s">
        <v>181</v>
      </c>
      <c r="N26" s="11" t="s">
        <v>27</v>
      </c>
      <c r="O26" s="11" t="s">
        <v>41</v>
      </c>
      <c r="P26" s="15"/>
      <c r="Q26" s="15"/>
      <c r="R26" s="15"/>
      <c r="S26" s="15"/>
      <c r="T26" s="2"/>
      <c r="U26" s="2"/>
      <c r="V26" s="2"/>
      <c r="W26" s="2"/>
      <c r="X26" s="2"/>
      <c r="Y26" s="2"/>
      <c r="Z26" s="2"/>
    </row>
    <row r="27" ht="15.75" customHeight="1">
      <c r="A27" s="11" t="s">
        <v>182</v>
      </c>
      <c r="B27" s="10" t="s">
        <v>168</v>
      </c>
      <c r="C27" s="11" t="s">
        <v>55</v>
      </c>
      <c r="D27" s="11" t="s">
        <v>183</v>
      </c>
      <c r="E27" s="11" t="s">
        <v>57</v>
      </c>
      <c r="F27" s="10" t="s">
        <v>58</v>
      </c>
      <c r="G27" s="10" t="s">
        <v>184</v>
      </c>
      <c r="H27" s="13">
        <v>46279.0</v>
      </c>
      <c r="I27" s="10" t="s">
        <v>172</v>
      </c>
      <c r="J27" s="10" t="s">
        <v>173</v>
      </c>
      <c r="K27" s="10" t="s">
        <v>185</v>
      </c>
      <c r="L27" s="10" t="s">
        <v>186</v>
      </c>
      <c r="M27" s="11" t="s">
        <v>176</v>
      </c>
      <c r="N27" s="11" t="s">
        <v>27</v>
      </c>
      <c r="O27" s="11" t="s">
        <v>64</v>
      </c>
      <c r="P27" s="15"/>
      <c r="Q27" s="15"/>
      <c r="R27" s="15"/>
      <c r="S27" s="15"/>
      <c r="T27" s="2"/>
      <c r="U27" s="2"/>
      <c r="V27" s="2"/>
      <c r="W27" s="2"/>
      <c r="X27" s="2"/>
      <c r="Y27" s="2"/>
      <c r="Z27" s="2"/>
    </row>
    <row r="28" ht="15.75" customHeight="1">
      <c r="A28" s="11" t="s">
        <v>187</v>
      </c>
      <c r="B28" s="10" t="s">
        <v>188</v>
      </c>
      <c r="C28" s="11" t="s">
        <v>29</v>
      </c>
      <c r="D28" s="11" t="s">
        <v>169</v>
      </c>
      <c r="E28" s="11" t="s">
        <v>31</v>
      </c>
      <c r="F28" s="10" t="s">
        <v>32</v>
      </c>
      <c r="G28" s="10" t="s">
        <v>189</v>
      </c>
      <c r="H28" s="13">
        <v>46279.0</v>
      </c>
      <c r="I28" s="10" t="s">
        <v>190</v>
      </c>
      <c r="J28" s="10" t="s">
        <v>191</v>
      </c>
      <c r="K28" s="10" t="s">
        <v>192</v>
      </c>
      <c r="L28" s="10" t="s">
        <v>175</v>
      </c>
      <c r="M28" s="11" t="s">
        <v>39</v>
      </c>
      <c r="N28" s="11" t="s">
        <v>40</v>
      </c>
      <c r="O28" s="11" t="s">
        <v>41</v>
      </c>
      <c r="P28" s="15"/>
      <c r="Q28" s="15"/>
      <c r="R28" s="15"/>
      <c r="S28" s="15"/>
      <c r="T28" s="2"/>
      <c r="U28" s="2"/>
      <c r="V28" s="2"/>
      <c r="W28" s="2"/>
      <c r="X28" s="2"/>
      <c r="Y28" s="2"/>
      <c r="Z28" s="2"/>
    </row>
    <row r="29" ht="15.75" customHeight="1">
      <c r="A29" s="11" t="s">
        <v>193</v>
      </c>
      <c r="B29" s="10" t="s">
        <v>188</v>
      </c>
      <c r="C29" s="11" t="s">
        <v>44</v>
      </c>
      <c r="D29" s="11" t="s">
        <v>177</v>
      </c>
      <c r="E29" s="11" t="s">
        <v>46</v>
      </c>
      <c r="F29" s="10" t="s">
        <v>47</v>
      </c>
      <c r="G29" s="10" t="s">
        <v>194</v>
      </c>
      <c r="H29" s="13">
        <v>46279.0</v>
      </c>
      <c r="I29" s="10" t="s">
        <v>190</v>
      </c>
      <c r="J29" s="10" t="s">
        <v>191</v>
      </c>
      <c r="K29" s="10" t="s">
        <v>195</v>
      </c>
      <c r="L29" s="10" t="s">
        <v>196</v>
      </c>
      <c r="M29" s="11" t="s">
        <v>176</v>
      </c>
      <c r="N29" s="11" t="s">
        <v>27</v>
      </c>
      <c r="O29" s="11" t="s">
        <v>41</v>
      </c>
      <c r="P29" s="15"/>
      <c r="Q29" s="15"/>
      <c r="R29" s="15"/>
      <c r="S29" s="15"/>
      <c r="T29" s="2"/>
      <c r="U29" s="2"/>
      <c r="V29" s="2"/>
      <c r="W29" s="2"/>
      <c r="X29" s="2"/>
      <c r="Y29" s="2"/>
      <c r="Z29" s="2"/>
    </row>
    <row r="30" ht="15.75" customHeight="1">
      <c r="A30" s="11" t="s">
        <v>197</v>
      </c>
      <c r="B30" s="10" t="s">
        <v>188</v>
      </c>
      <c r="C30" s="11" t="s">
        <v>55</v>
      </c>
      <c r="D30" s="11" t="s">
        <v>183</v>
      </c>
      <c r="E30" s="11" t="s">
        <v>57</v>
      </c>
      <c r="F30" s="10" t="s">
        <v>58</v>
      </c>
      <c r="G30" s="10" t="s">
        <v>198</v>
      </c>
      <c r="H30" s="13">
        <v>46279.0</v>
      </c>
      <c r="I30" s="10" t="s">
        <v>190</v>
      </c>
      <c r="J30" s="10" t="s">
        <v>191</v>
      </c>
      <c r="K30" s="10" t="s">
        <v>199</v>
      </c>
      <c r="L30" s="10" t="s">
        <v>200</v>
      </c>
      <c r="M30" s="11" t="s">
        <v>193</v>
      </c>
      <c r="N30" s="11" t="s">
        <v>27</v>
      </c>
      <c r="O30" s="11" t="s">
        <v>64</v>
      </c>
      <c r="P30" s="15"/>
      <c r="Q30" s="15"/>
      <c r="R30" s="15"/>
      <c r="S30" s="15"/>
      <c r="T30" s="2"/>
      <c r="U30" s="2"/>
      <c r="V30" s="2"/>
      <c r="W30" s="2"/>
      <c r="X30" s="2"/>
      <c r="Y30" s="2"/>
      <c r="Z30" s="2"/>
    </row>
    <row r="31" ht="15.75" customHeight="1">
      <c r="A31" s="11" t="s">
        <v>201</v>
      </c>
      <c r="B31" s="10" t="s">
        <v>202</v>
      </c>
      <c r="C31" s="11" t="s">
        <v>29</v>
      </c>
      <c r="D31" s="11" t="s">
        <v>169</v>
      </c>
      <c r="E31" s="11" t="s">
        <v>31</v>
      </c>
      <c r="F31" s="10" t="s">
        <v>32</v>
      </c>
      <c r="G31" s="10" t="s">
        <v>203</v>
      </c>
      <c r="H31" s="13">
        <v>46279.0</v>
      </c>
      <c r="I31" s="10" t="s">
        <v>190</v>
      </c>
      <c r="J31" s="10" t="s">
        <v>204</v>
      </c>
      <c r="K31" s="10" t="s">
        <v>205</v>
      </c>
      <c r="L31" s="21" t="s">
        <v>175</v>
      </c>
      <c r="M31" s="11" t="s">
        <v>39</v>
      </c>
      <c r="N31" s="11" t="s">
        <v>40</v>
      </c>
      <c r="O31" s="11" t="s">
        <v>41</v>
      </c>
      <c r="P31" s="15"/>
      <c r="Q31" s="15"/>
      <c r="R31" s="15"/>
      <c r="S31" s="15"/>
      <c r="T31" s="2"/>
      <c r="U31" s="2"/>
      <c r="V31" s="2"/>
      <c r="W31" s="2"/>
      <c r="X31" s="2"/>
      <c r="Y31" s="2"/>
      <c r="Z31" s="2"/>
    </row>
    <row r="32" ht="15.75" customHeight="1">
      <c r="A32" s="11" t="s">
        <v>206</v>
      </c>
      <c r="B32" s="10" t="s">
        <v>202</v>
      </c>
      <c r="C32" s="11" t="s">
        <v>44</v>
      </c>
      <c r="D32" s="11" t="s">
        <v>177</v>
      </c>
      <c r="E32" s="11" t="s">
        <v>46</v>
      </c>
      <c r="F32" s="10" t="s">
        <v>47</v>
      </c>
      <c r="G32" s="10" t="s">
        <v>207</v>
      </c>
      <c r="H32" s="13">
        <v>46279.0</v>
      </c>
      <c r="I32" s="10" t="s">
        <v>190</v>
      </c>
      <c r="J32" s="10" t="s">
        <v>204</v>
      </c>
      <c r="K32" s="10" t="s">
        <v>208</v>
      </c>
      <c r="L32" s="21" t="s">
        <v>209</v>
      </c>
      <c r="M32" s="11" t="s">
        <v>39</v>
      </c>
      <c r="N32" s="11" t="s">
        <v>27</v>
      </c>
      <c r="O32" s="11" t="s">
        <v>41</v>
      </c>
      <c r="P32" s="15"/>
      <c r="Q32" s="15"/>
      <c r="R32" s="15"/>
      <c r="S32" s="15"/>
      <c r="T32" s="2"/>
      <c r="U32" s="2"/>
      <c r="V32" s="2"/>
      <c r="W32" s="2"/>
      <c r="X32" s="2"/>
      <c r="Y32" s="2"/>
      <c r="Z32" s="2"/>
    </row>
    <row r="33" ht="15.75" customHeight="1">
      <c r="A33" s="11" t="s">
        <v>210</v>
      </c>
      <c r="B33" s="10" t="s">
        <v>211</v>
      </c>
      <c r="C33" s="11" t="s">
        <v>55</v>
      </c>
      <c r="D33" s="11" t="s">
        <v>183</v>
      </c>
      <c r="E33" s="11" t="s">
        <v>57</v>
      </c>
      <c r="F33" s="10" t="s">
        <v>58</v>
      </c>
      <c r="G33" s="10" t="s">
        <v>212</v>
      </c>
      <c r="H33" s="13">
        <v>46279.0</v>
      </c>
      <c r="I33" s="10" t="s">
        <v>190</v>
      </c>
      <c r="J33" s="10" t="s">
        <v>204</v>
      </c>
      <c r="K33" s="10" t="s">
        <v>213</v>
      </c>
      <c r="L33" s="21" t="s">
        <v>214</v>
      </c>
      <c r="M33" s="11" t="s">
        <v>39</v>
      </c>
      <c r="N33" s="11" t="s">
        <v>27</v>
      </c>
      <c r="O33" s="11" t="s">
        <v>64</v>
      </c>
      <c r="P33" s="15"/>
      <c r="Q33" s="15"/>
      <c r="R33" s="15"/>
      <c r="S33" s="15"/>
      <c r="T33" s="2"/>
      <c r="U33" s="2"/>
      <c r="V33" s="2"/>
      <c r="W33" s="2"/>
      <c r="X33" s="2"/>
      <c r="Y33" s="2"/>
      <c r="Z33" s="2"/>
    </row>
    <row r="34" ht="15.75" customHeight="1">
      <c r="A34" s="11" t="s">
        <v>215</v>
      </c>
      <c r="B34" s="10" t="s">
        <v>216</v>
      </c>
      <c r="C34" s="11" t="s">
        <v>29</v>
      </c>
      <c r="D34" s="11" t="s">
        <v>169</v>
      </c>
      <c r="E34" s="11" t="s">
        <v>31</v>
      </c>
      <c r="F34" s="10" t="s">
        <v>32</v>
      </c>
      <c r="G34" s="10" t="s">
        <v>217</v>
      </c>
      <c r="H34" s="13">
        <v>46279.0</v>
      </c>
      <c r="I34" s="10" t="s">
        <v>190</v>
      </c>
      <c r="J34" s="10" t="s">
        <v>218</v>
      </c>
      <c r="K34" s="10" t="s">
        <v>219</v>
      </c>
      <c r="L34" s="21" t="s">
        <v>175</v>
      </c>
      <c r="M34" s="11" t="s">
        <v>39</v>
      </c>
      <c r="N34" s="11" t="s">
        <v>40</v>
      </c>
      <c r="O34" s="11" t="s">
        <v>41</v>
      </c>
      <c r="P34" s="15"/>
      <c r="Q34" s="15"/>
      <c r="R34" s="15"/>
      <c r="S34" s="15"/>
      <c r="T34" s="2"/>
      <c r="U34" s="2"/>
      <c r="V34" s="2"/>
      <c r="W34" s="2"/>
      <c r="X34" s="2"/>
      <c r="Y34" s="2"/>
      <c r="Z34" s="2"/>
    </row>
    <row r="35" ht="15.75" customHeight="1">
      <c r="A35" s="11" t="s">
        <v>220</v>
      </c>
      <c r="B35" s="10" t="s">
        <v>216</v>
      </c>
      <c r="C35" s="11" t="s">
        <v>44</v>
      </c>
      <c r="D35" s="11" t="s">
        <v>177</v>
      </c>
      <c r="E35" s="11" t="s">
        <v>46</v>
      </c>
      <c r="F35" s="10" t="s">
        <v>47</v>
      </c>
      <c r="G35" s="10" t="s">
        <v>221</v>
      </c>
      <c r="H35" s="13">
        <v>46279.0</v>
      </c>
      <c r="I35" s="10" t="s">
        <v>190</v>
      </c>
      <c r="J35" s="10" t="s">
        <v>218</v>
      </c>
      <c r="K35" s="10" t="s">
        <v>222</v>
      </c>
      <c r="L35" s="10" t="s">
        <v>223</v>
      </c>
      <c r="M35" s="22" t="s">
        <v>206</v>
      </c>
      <c r="N35" s="11" t="s">
        <v>27</v>
      </c>
      <c r="O35" s="11" t="s">
        <v>41</v>
      </c>
      <c r="P35" s="15"/>
      <c r="Q35" s="15"/>
      <c r="R35" s="15"/>
      <c r="S35" s="15"/>
      <c r="T35" s="2"/>
      <c r="U35" s="2"/>
      <c r="V35" s="2"/>
      <c r="W35" s="2"/>
      <c r="X35" s="2"/>
      <c r="Y35" s="2"/>
      <c r="Z35" s="2"/>
    </row>
    <row r="36" ht="15.75" customHeight="1">
      <c r="A36" s="11" t="s">
        <v>224</v>
      </c>
      <c r="B36" s="10" t="s">
        <v>216</v>
      </c>
      <c r="C36" s="11" t="s">
        <v>55</v>
      </c>
      <c r="D36" s="11" t="s">
        <v>183</v>
      </c>
      <c r="E36" s="11" t="s">
        <v>57</v>
      </c>
      <c r="F36" s="10" t="s">
        <v>58</v>
      </c>
      <c r="G36" s="10" t="s">
        <v>225</v>
      </c>
      <c r="H36" s="13">
        <v>46279.0</v>
      </c>
      <c r="I36" s="10" t="s">
        <v>190</v>
      </c>
      <c r="J36" s="10" t="s">
        <v>218</v>
      </c>
      <c r="K36" s="10" t="s">
        <v>226</v>
      </c>
      <c r="L36" s="21" t="s">
        <v>214</v>
      </c>
      <c r="M36" s="22" t="s">
        <v>220</v>
      </c>
      <c r="N36" s="11" t="s">
        <v>27</v>
      </c>
      <c r="O36" s="11" t="s">
        <v>64</v>
      </c>
      <c r="P36" s="15"/>
      <c r="Q36" s="15"/>
      <c r="R36" s="15"/>
      <c r="S36" s="15"/>
      <c r="T36" s="2"/>
      <c r="U36" s="2"/>
      <c r="V36" s="2"/>
      <c r="W36" s="2"/>
      <c r="X36" s="2"/>
      <c r="Y36" s="2"/>
      <c r="Z36" s="2"/>
    </row>
    <row r="37" ht="15.75" customHeight="1">
      <c r="A37" s="11" t="s">
        <v>227</v>
      </c>
      <c r="B37" s="10" t="s">
        <v>228</v>
      </c>
      <c r="C37" s="11" t="s">
        <v>29</v>
      </c>
      <c r="D37" s="11" t="s">
        <v>169</v>
      </c>
      <c r="E37" s="11" t="s">
        <v>31</v>
      </c>
      <c r="F37" s="10" t="s">
        <v>32</v>
      </c>
      <c r="G37" s="10" t="s">
        <v>229</v>
      </c>
      <c r="H37" s="13">
        <v>46279.0</v>
      </c>
      <c r="I37" s="10" t="s">
        <v>172</v>
      </c>
      <c r="J37" s="10" t="s">
        <v>230</v>
      </c>
      <c r="K37" s="10" t="s">
        <v>231</v>
      </c>
      <c r="L37" s="10" t="s">
        <v>175</v>
      </c>
      <c r="M37" s="11" t="s">
        <v>39</v>
      </c>
      <c r="N37" s="11" t="s">
        <v>40</v>
      </c>
      <c r="O37" s="11" t="s">
        <v>41</v>
      </c>
      <c r="P37" s="15"/>
      <c r="Q37" s="15"/>
      <c r="R37" s="15"/>
      <c r="S37" s="15"/>
      <c r="T37" s="2"/>
      <c r="U37" s="2"/>
      <c r="V37" s="2"/>
      <c r="W37" s="2"/>
      <c r="X37" s="2"/>
      <c r="Y37" s="2"/>
      <c r="Z37" s="2"/>
    </row>
    <row r="38" ht="15.75" customHeight="1">
      <c r="A38" s="11" t="s">
        <v>232</v>
      </c>
      <c r="B38" s="10" t="s">
        <v>228</v>
      </c>
      <c r="C38" s="11" t="s">
        <v>44</v>
      </c>
      <c r="D38" s="11" t="s">
        <v>177</v>
      </c>
      <c r="E38" s="11" t="s">
        <v>46</v>
      </c>
      <c r="F38" s="10" t="s">
        <v>47</v>
      </c>
      <c r="G38" s="10" t="s">
        <v>233</v>
      </c>
      <c r="H38" s="13">
        <v>46279.0</v>
      </c>
      <c r="I38" s="10" t="s">
        <v>172</v>
      </c>
      <c r="J38" s="10" t="s">
        <v>230</v>
      </c>
      <c r="K38" s="10" t="s">
        <v>234</v>
      </c>
      <c r="L38" s="10" t="s">
        <v>235</v>
      </c>
      <c r="M38" s="11" t="s">
        <v>176</v>
      </c>
      <c r="N38" s="11" t="s">
        <v>27</v>
      </c>
      <c r="O38" s="11" t="s">
        <v>41</v>
      </c>
      <c r="P38" s="15"/>
      <c r="Q38" s="15"/>
      <c r="R38" s="15"/>
      <c r="S38" s="15"/>
      <c r="T38" s="2"/>
      <c r="U38" s="2"/>
      <c r="V38" s="2"/>
      <c r="W38" s="2"/>
      <c r="X38" s="2"/>
      <c r="Y38" s="2"/>
      <c r="Z38" s="2"/>
    </row>
    <row r="39" ht="15.75" customHeight="1">
      <c r="A39" s="11" t="s">
        <v>236</v>
      </c>
      <c r="B39" s="10" t="s">
        <v>228</v>
      </c>
      <c r="C39" s="11" t="s">
        <v>55</v>
      </c>
      <c r="D39" s="11" t="s">
        <v>183</v>
      </c>
      <c r="E39" s="11" t="s">
        <v>57</v>
      </c>
      <c r="F39" s="10" t="s">
        <v>58</v>
      </c>
      <c r="G39" s="10" t="s">
        <v>237</v>
      </c>
      <c r="H39" s="13">
        <v>46279.0</v>
      </c>
      <c r="I39" s="10" t="s">
        <v>172</v>
      </c>
      <c r="J39" s="10" t="s">
        <v>230</v>
      </c>
      <c r="K39" s="10" t="s">
        <v>238</v>
      </c>
      <c r="L39" s="10" t="s">
        <v>239</v>
      </c>
      <c r="M39" s="11" t="s">
        <v>182</v>
      </c>
      <c r="N39" s="11" t="s">
        <v>27</v>
      </c>
      <c r="O39" s="11" t="s">
        <v>64</v>
      </c>
      <c r="P39" s="15"/>
      <c r="Q39" s="15"/>
      <c r="R39" s="15"/>
      <c r="S39" s="15"/>
      <c r="T39" s="2"/>
      <c r="U39" s="2"/>
      <c r="V39" s="2"/>
      <c r="W39" s="2"/>
      <c r="X39" s="2"/>
      <c r="Y39" s="2"/>
      <c r="Z39" s="2"/>
    </row>
    <row r="40" ht="15.75" customHeight="1">
      <c r="A40" s="11" t="s">
        <v>240</v>
      </c>
      <c r="B40" s="10" t="s">
        <v>241</v>
      </c>
      <c r="C40" s="11" t="s">
        <v>29</v>
      </c>
      <c r="D40" s="11" t="s">
        <v>169</v>
      </c>
      <c r="E40" s="11" t="s">
        <v>31</v>
      </c>
      <c r="F40" s="10" t="s">
        <v>32</v>
      </c>
      <c r="G40" s="10" t="s">
        <v>242</v>
      </c>
      <c r="H40" s="13">
        <v>46279.0</v>
      </c>
      <c r="I40" s="10" t="s">
        <v>243</v>
      </c>
      <c r="J40" s="10" t="s">
        <v>244</v>
      </c>
      <c r="K40" s="10" t="s">
        <v>245</v>
      </c>
      <c r="L40" s="10" t="s">
        <v>175</v>
      </c>
      <c r="M40" s="11" t="s">
        <v>39</v>
      </c>
      <c r="N40" s="11" t="s">
        <v>40</v>
      </c>
      <c r="O40" s="11" t="s">
        <v>41</v>
      </c>
      <c r="P40" s="15"/>
      <c r="Q40" s="15"/>
      <c r="R40" s="15"/>
      <c r="S40" s="15"/>
      <c r="T40" s="2"/>
      <c r="U40" s="2"/>
      <c r="V40" s="2"/>
      <c r="W40" s="2"/>
      <c r="X40" s="2"/>
      <c r="Y40" s="2"/>
      <c r="Z40" s="2"/>
    </row>
    <row r="41" ht="15.75" customHeight="1">
      <c r="A41" s="11" t="s">
        <v>246</v>
      </c>
      <c r="B41" s="10" t="s">
        <v>241</v>
      </c>
      <c r="C41" s="11" t="s">
        <v>44</v>
      </c>
      <c r="D41" s="11" t="s">
        <v>177</v>
      </c>
      <c r="E41" s="11" t="s">
        <v>46</v>
      </c>
      <c r="F41" s="10" t="s">
        <v>47</v>
      </c>
      <c r="G41" s="10" t="s">
        <v>247</v>
      </c>
      <c r="H41" s="13">
        <v>46279.0</v>
      </c>
      <c r="I41" s="10" t="s">
        <v>243</v>
      </c>
      <c r="J41" s="10" t="s">
        <v>244</v>
      </c>
      <c r="K41" s="10" t="s">
        <v>248</v>
      </c>
      <c r="L41" s="10" t="s">
        <v>249</v>
      </c>
      <c r="M41" s="22" t="s">
        <v>167</v>
      </c>
      <c r="N41" s="11" t="s">
        <v>27</v>
      </c>
      <c r="O41" s="11" t="s">
        <v>41</v>
      </c>
      <c r="P41" s="15"/>
      <c r="Q41" s="15"/>
      <c r="R41" s="15"/>
      <c r="S41" s="15"/>
      <c r="T41" s="2"/>
      <c r="U41" s="2"/>
      <c r="V41" s="2"/>
      <c r="W41" s="2"/>
      <c r="X41" s="2"/>
      <c r="Y41" s="2"/>
      <c r="Z41" s="2"/>
    </row>
    <row r="42" ht="15.75" customHeight="1">
      <c r="A42" s="11" t="s">
        <v>250</v>
      </c>
      <c r="B42" s="10" t="s">
        <v>241</v>
      </c>
      <c r="C42" s="11" t="s">
        <v>55</v>
      </c>
      <c r="D42" s="11" t="s">
        <v>183</v>
      </c>
      <c r="E42" s="11" t="s">
        <v>57</v>
      </c>
      <c r="F42" s="10" t="s">
        <v>58</v>
      </c>
      <c r="G42" s="10" t="s">
        <v>251</v>
      </c>
      <c r="H42" s="13">
        <v>46279.0</v>
      </c>
      <c r="I42" s="10" t="s">
        <v>243</v>
      </c>
      <c r="J42" s="10" t="s">
        <v>244</v>
      </c>
      <c r="K42" s="10" t="s">
        <v>252</v>
      </c>
      <c r="L42" s="10" t="s">
        <v>214</v>
      </c>
      <c r="M42" s="22" t="s">
        <v>246</v>
      </c>
      <c r="N42" s="11" t="s">
        <v>27</v>
      </c>
      <c r="O42" s="11" t="s">
        <v>64</v>
      </c>
      <c r="P42" s="15"/>
      <c r="Q42" s="15"/>
      <c r="R42" s="15"/>
      <c r="S42" s="15"/>
      <c r="T42" s="2"/>
      <c r="U42" s="2"/>
      <c r="V42" s="2"/>
      <c r="W42" s="2"/>
      <c r="X42" s="2"/>
      <c r="Y42" s="2"/>
      <c r="Z42" s="2"/>
    </row>
    <row r="43" ht="15.75" customHeight="1">
      <c r="A43" s="2"/>
      <c r="B43" s="2"/>
      <c r="C43" s="2"/>
      <c r="D43" s="2"/>
      <c r="E43" s="2"/>
      <c r="F43" s="2"/>
      <c r="G43" s="2"/>
      <c r="H43" s="2"/>
      <c r="I43" s="2"/>
      <c r="J43" s="2"/>
      <c r="K43" s="2"/>
      <c r="L43" s="23"/>
      <c r="M43" s="23"/>
      <c r="N43" s="23"/>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7" width="11.43"/>
    <col customWidth="1" min="8" max="26" width="10.0"/>
  </cols>
  <sheetData>
    <row r="1" ht="23.25" customHeight="1">
      <c r="A1" s="1" t="str">
        <f>'Plantilla de Casos de Prueba'!A1</f>
        <v>Catalogo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7" t="s">
        <v>13</v>
      </c>
      <c r="B4" s="2"/>
      <c r="C4" s="2"/>
      <c r="D4" s="2"/>
      <c r="E4" s="2"/>
      <c r="F4" s="2"/>
      <c r="G4" s="2"/>
      <c r="H4" s="2"/>
      <c r="I4" s="2"/>
      <c r="J4" s="2"/>
      <c r="K4" s="2"/>
      <c r="L4" s="2"/>
      <c r="M4" s="2"/>
      <c r="N4" s="2"/>
      <c r="O4" s="2"/>
      <c r="P4" s="2"/>
      <c r="Q4" s="2"/>
      <c r="R4" s="2"/>
      <c r="S4" s="2"/>
      <c r="T4" s="2"/>
      <c r="U4" s="2"/>
      <c r="V4" s="2"/>
      <c r="W4" s="2"/>
      <c r="X4" s="2"/>
      <c r="Y4" s="2"/>
      <c r="Z4" s="2"/>
    </row>
    <row r="5">
      <c r="A5" s="9" t="s">
        <v>24</v>
      </c>
      <c r="B5" s="9" t="s">
        <v>26</v>
      </c>
      <c r="C5" s="2"/>
      <c r="D5" s="2"/>
      <c r="E5" s="2" t="s">
        <v>27</v>
      </c>
      <c r="F5" s="2"/>
      <c r="G5" s="2" t="s">
        <v>28</v>
      </c>
      <c r="H5" s="2"/>
      <c r="I5" s="2"/>
      <c r="J5" s="2"/>
      <c r="K5" s="2"/>
      <c r="L5" s="2"/>
      <c r="M5" s="2"/>
      <c r="N5" s="2"/>
      <c r="O5" s="2"/>
      <c r="P5" s="2"/>
      <c r="Q5" s="2"/>
      <c r="R5" s="2"/>
      <c r="S5" s="2"/>
      <c r="T5" s="2"/>
      <c r="U5" s="2"/>
      <c r="V5" s="2"/>
      <c r="W5" s="2"/>
      <c r="X5" s="2"/>
      <c r="Y5" s="2"/>
      <c r="Z5" s="2"/>
    </row>
    <row r="6">
      <c r="A6" s="14" t="str">
        <f>'Plantilla de Casos de Prueba'!A6</f>
        <v>Id</v>
      </c>
      <c r="B6" s="14" t="s">
        <v>38</v>
      </c>
      <c r="C6" s="2"/>
      <c r="D6" s="2"/>
      <c r="E6" s="2" t="s">
        <v>40</v>
      </c>
      <c r="F6" s="2"/>
      <c r="G6" s="2" t="s">
        <v>42</v>
      </c>
      <c r="H6" s="2"/>
      <c r="I6" s="2"/>
      <c r="J6" s="2"/>
      <c r="K6" s="2"/>
      <c r="L6" s="2"/>
      <c r="M6" s="2"/>
      <c r="N6" s="2"/>
      <c r="O6" s="2"/>
      <c r="P6" s="2"/>
      <c r="Q6" s="2"/>
      <c r="R6" s="2"/>
      <c r="S6" s="2"/>
      <c r="T6" s="2"/>
      <c r="U6" s="2"/>
      <c r="V6" s="2"/>
      <c r="W6" s="2"/>
      <c r="X6" s="2"/>
      <c r="Y6" s="2"/>
      <c r="Z6" s="2"/>
    </row>
    <row r="7">
      <c r="A7" s="14" t="str">
        <f>'Plantilla de Casos de Prueba'!B6</f>
        <v>Caso de Prueba</v>
      </c>
      <c r="B7" s="14" t="s">
        <v>50</v>
      </c>
      <c r="C7" s="2"/>
      <c r="D7" s="2"/>
      <c r="E7" s="2"/>
      <c r="F7" s="2"/>
      <c r="G7" s="2" t="s">
        <v>52</v>
      </c>
      <c r="H7" s="2"/>
      <c r="I7" s="2"/>
      <c r="J7" s="2"/>
      <c r="K7" s="2"/>
      <c r="L7" s="2"/>
      <c r="M7" s="2"/>
      <c r="N7" s="2"/>
      <c r="O7" s="2"/>
      <c r="P7" s="2"/>
      <c r="Q7" s="2"/>
      <c r="R7" s="2"/>
      <c r="S7" s="2"/>
      <c r="T7" s="2"/>
      <c r="U7" s="2"/>
      <c r="V7" s="2"/>
      <c r="W7" s="2"/>
      <c r="X7" s="2"/>
      <c r="Y7" s="2"/>
      <c r="Z7" s="2"/>
    </row>
    <row r="8">
      <c r="A8" s="14" t="s">
        <v>5</v>
      </c>
      <c r="B8" s="14" t="s">
        <v>63</v>
      </c>
      <c r="C8" s="2"/>
      <c r="D8" s="2"/>
      <c r="E8" s="2"/>
      <c r="F8" s="2"/>
      <c r="G8" s="2" t="s">
        <v>65</v>
      </c>
      <c r="H8" s="2"/>
      <c r="I8" s="2"/>
      <c r="J8" s="2"/>
      <c r="K8" s="2"/>
      <c r="L8" s="2"/>
      <c r="M8" s="2"/>
      <c r="N8" s="2"/>
      <c r="O8" s="2"/>
      <c r="P8" s="2"/>
      <c r="Q8" s="2"/>
      <c r="R8" s="2"/>
      <c r="S8" s="2"/>
      <c r="T8" s="2"/>
      <c r="U8" s="2"/>
      <c r="V8" s="2"/>
      <c r="W8" s="2"/>
      <c r="X8" s="2"/>
      <c r="Y8" s="2"/>
      <c r="Z8" s="2"/>
    </row>
    <row r="9">
      <c r="A9" s="14" t="s">
        <v>6</v>
      </c>
      <c r="B9" s="14" t="s">
        <v>68</v>
      </c>
      <c r="C9" s="2"/>
      <c r="D9" s="2"/>
      <c r="E9" s="2"/>
      <c r="F9" s="2"/>
      <c r="G9" s="2"/>
      <c r="H9" s="2"/>
      <c r="I9" s="2"/>
      <c r="J9" s="2"/>
      <c r="K9" s="2"/>
      <c r="L9" s="2"/>
      <c r="M9" s="2"/>
      <c r="N9" s="2"/>
      <c r="O9" s="2"/>
      <c r="P9" s="2"/>
      <c r="Q9" s="2"/>
      <c r="R9" s="2"/>
      <c r="S9" s="2"/>
      <c r="T9" s="2"/>
      <c r="U9" s="2"/>
      <c r="V9" s="2"/>
      <c r="W9" s="2"/>
      <c r="X9" s="2"/>
      <c r="Y9" s="2"/>
      <c r="Z9" s="2"/>
    </row>
    <row r="10">
      <c r="A10" s="14" t="s">
        <v>7</v>
      </c>
      <c r="B10" s="14" t="s">
        <v>72</v>
      </c>
      <c r="C10" s="2"/>
      <c r="D10" s="2"/>
      <c r="E10" s="2"/>
      <c r="F10" s="2"/>
      <c r="G10" s="2"/>
      <c r="H10" s="2"/>
      <c r="I10" s="2"/>
      <c r="J10" s="2"/>
      <c r="K10" s="2"/>
      <c r="L10" s="2"/>
      <c r="M10" s="2"/>
      <c r="N10" s="2"/>
      <c r="O10" s="2"/>
      <c r="P10" s="2"/>
      <c r="Q10" s="2"/>
      <c r="R10" s="2"/>
      <c r="S10" s="2"/>
      <c r="T10" s="2"/>
      <c r="U10" s="2"/>
      <c r="V10" s="2"/>
      <c r="W10" s="2"/>
      <c r="X10" s="2"/>
      <c r="Y10" s="2"/>
      <c r="Z10" s="2"/>
    </row>
    <row r="11">
      <c r="A11" s="14" t="s">
        <v>8</v>
      </c>
      <c r="B11" s="14" t="s">
        <v>76</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14" t="str">
        <f>'Plantilla de Casos de Prueba'!G6</f>
        <v>Descripción</v>
      </c>
      <c r="B12" s="14" t="s">
        <v>81</v>
      </c>
      <c r="C12" s="2"/>
      <c r="D12" s="2"/>
      <c r="E12" s="2" t="s">
        <v>41</v>
      </c>
      <c r="F12" s="2"/>
      <c r="G12" s="2" t="s">
        <v>83</v>
      </c>
      <c r="H12" s="2"/>
      <c r="I12" s="2"/>
      <c r="J12" s="2"/>
      <c r="K12" s="2"/>
      <c r="L12" s="2"/>
      <c r="M12" s="2"/>
      <c r="N12" s="2"/>
      <c r="O12" s="2"/>
      <c r="P12" s="2"/>
      <c r="Q12" s="2"/>
      <c r="R12" s="2"/>
      <c r="S12" s="2"/>
      <c r="T12" s="2"/>
      <c r="U12" s="2"/>
      <c r="V12" s="2"/>
      <c r="W12" s="2"/>
      <c r="X12" s="2"/>
      <c r="Y12" s="2"/>
      <c r="Z12" s="2"/>
    </row>
    <row r="13">
      <c r="A13" s="14" t="str">
        <f>'Plantilla de Casos de Prueba'!H6</f>
        <v>Fecha</v>
      </c>
      <c r="B13" s="14" t="s">
        <v>88</v>
      </c>
      <c r="C13" s="2"/>
      <c r="D13" s="2"/>
      <c r="E13" s="2" t="s">
        <v>64</v>
      </c>
      <c r="F13" s="2"/>
      <c r="G13" s="2" t="s">
        <v>90</v>
      </c>
      <c r="H13" s="2"/>
      <c r="I13" s="2"/>
      <c r="J13" s="2"/>
      <c r="K13" s="2"/>
      <c r="L13" s="2"/>
      <c r="M13" s="2"/>
      <c r="N13" s="2"/>
      <c r="O13" s="2"/>
      <c r="P13" s="2"/>
      <c r="Q13" s="2"/>
      <c r="R13" s="2"/>
      <c r="S13" s="2"/>
      <c r="T13" s="2"/>
      <c r="U13" s="2"/>
      <c r="V13" s="2"/>
      <c r="W13" s="2"/>
      <c r="X13" s="2"/>
      <c r="Y13" s="2"/>
      <c r="Z13" s="2"/>
    </row>
    <row r="14" ht="45.0" customHeight="1">
      <c r="A14" s="14" t="str">
        <f>'Plantilla de Casos de Prueba'!I6</f>
        <v>Área Funcional / Sub proceso</v>
      </c>
      <c r="B14" s="14" t="s">
        <v>95</v>
      </c>
      <c r="C14" s="2"/>
      <c r="D14" s="2"/>
      <c r="E14" s="2"/>
      <c r="F14" s="2"/>
      <c r="G14" s="2" t="s">
        <v>97</v>
      </c>
      <c r="H14" s="2"/>
      <c r="I14" s="2"/>
      <c r="J14" s="2"/>
      <c r="K14" s="2"/>
      <c r="L14" s="2"/>
      <c r="M14" s="2"/>
      <c r="N14" s="2"/>
      <c r="O14" s="2"/>
      <c r="P14" s="2"/>
      <c r="Q14" s="2"/>
      <c r="R14" s="2"/>
      <c r="S14" s="2"/>
      <c r="T14" s="2"/>
      <c r="U14" s="2"/>
      <c r="V14" s="2"/>
      <c r="W14" s="2"/>
      <c r="X14" s="2"/>
      <c r="Y14" s="2"/>
      <c r="Z14" s="2"/>
    </row>
    <row r="15" ht="45.0" customHeight="1">
      <c r="A15" s="14" t="str">
        <f>'Plantilla de Casos de Prueba'!J6</f>
        <v>Funcionalidad / Característica</v>
      </c>
      <c r="B15" s="14" t="s">
        <v>105</v>
      </c>
      <c r="C15" s="2"/>
      <c r="D15" s="2"/>
      <c r="E15" s="2"/>
      <c r="F15" s="2"/>
      <c r="G15" s="2" t="s">
        <v>107</v>
      </c>
      <c r="H15" s="2"/>
      <c r="I15" s="2"/>
      <c r="J15" s="2"/>
      <c r="K15" s="2"/>
      <c r="L15" s="2"/>
      <c r="M15" s="2"/>
      <c r="N15" s="2"/>
      <c r="O15" s="2"/>
      <c r="P15" s="2"/>
      <c r="Q15" s="2"/>
      <c r="R15" s="2"/>
      <c r="S15" s="2"/>
      <c r="T15" s="2"/>
      <c r="U15" s="2"/>
      <c r="V15" s="2"/>
      <c r="W15" s="2"/>
      <c r="X15" s="2"/>
      <c r="Y15" s="2"/>
      <c r="Z15" s="2"/>
    </row>
    <row r="16" ht="30.0" customHeight="1">
      <c r="A16" s="14" t="str">
        <f>'Plantilla de Casos de Prueba'!K6</f>
        <v>Requerimientos de Ambiente de Pruebas</v>
      </c>
      <c r="B16" s="14" t="s">
        <v>117</v>
      </c>
      <c r="C16" s="2"/>
      <c r="D16" s="2"/>
      <c r="E16" s="2"/>
      <c r="F16" s="2"/>
      <c r="G16" s="2"/>
      <c r="H16" s="2"/>
      <c r="I16" s="2"/>
      <c r="J16" s="2"/>
      <c r="K16" s="2"/>
      <c r="L16" s="2"/>
      <c r="M16" s="2"/>
      <c r="N16" s="2"/>
      <c r="O16" s="2"/>
      <c r="P16" s="2"/>
      <c r="Q16" s="2"/>
      <c r="R16" s="2"/>
      <c r="S16" s="2"/>
      <c r="T16" s="2"/>
      <c r="U16" s="2"/>
      <c r="V16" s="2"/>
      <c r="W16" s="2"/>
      <c r="X16" s="2"/>
      <c r="Y16" s="2"/>
      <c r="Z16" s="2"/>
    </row>
    <row r="17" ht="30.0" customHeight="1">
      <c r="A17" s="14" t="str">
        <f>'Plantilla de Casos de Prueba'!L6</f>
        <v>Procedimientos especiales requeridos</v>
      </c>
      <c r="B17" s="14" t="s">
        <v>124</v>
      </c>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14" t="str">
        <f>'Plantilla de Casos de Prueba'!M6</f>
        <v>Dependencias con otros casos de Prueba</v>
      </c>
      <c r="B18" s="14" t="s">
        <v>129</v>
      </c>
      <c r="C18" s="2"/>
      <c r="D18" s="2"/>
      <c r="E18" s="2"/>
      <c r="F18" s="2"/>
      <c r="G18" s="2"/>
      <c r="H18" s="2"/>
      <c r="I18" s="2"/>
      <c r="J18" s="2"/>
      <c r="K18" s="2"/>
      <c r="L18" s="2"/>
      <c r="M18" s="2"/>
      <c r="N18" s="2"/>
      <c r="O18" s="2"/>
      <c r="P18" s="2"/>
      <c r="Q18" s="2"/>
      <c r="R18" s="2"/>
      <c r="S18" s="2"/>
      <c r="T18" s="2"/>
      <c r="U18" s="2"/>
      <c r="V18" s="2"/>
      <c r="W18" s="2"/>
      <c r="X18" s="2"/>
      <c r="Y18" s="2"/>
      <c r="Z18" s="2"/>
    </row>
    <row r="19">
      <c r="A19" s="17" t="s">
        <v>134</v>
      </c>
      <c r="B19" s="18" t="s">
        <v>136</v>
      </c>
      <c r="C19" s="2"/>
      <c r="D19" s="2"/>
      <c r="E19" s="2"/>
      <c r="F19" s="2"/>
      <c r="G19" s="2"/>
      <c r="H19" s="2"/>
      <c r="I19" s="2"/>
      <c r="J19" s="2"/>
      <c r="K19" s="2"/>
      <c r="L19" s="2"/>
      <c r="M19" s="2"/>
      <c r="N19" s="2"/>
      <c r="O19" s="2"/>
      <c r="P19" s="2"/>
      <c r="Q19" s="2"/>
      <c r="R19" s="2"/>
      <c r="S19" s="2"/>
      <c r="T19" s="2"/>
      <c r="U19" s="2"/>
      <c r="V19" s="2"/>
      <c r="W19" s="2"/>
      <c r="X19" s="2"/>
      <c r="Y19" s="2"/>
      <c r="Z19" s="2"/>
    </row>
    <row r="20">
      <c r="A20" s="17" t="s">
        <v>18</v>
      </c>
      <c r="B20" s="18" t="s">
        <v>142</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9" t="s">
        <v>147</v>
      </c>
      <c r="B21" s="20"/>
      <c r="C21" s="2"/>
      <c r="D21" s="2"/>
      <c r="E21" s="2"/>
      <c r="F21" s="2"/>
      <c r="G21" s="2"/>
      <c r="H21" s="2"/>
      <c r="I21" s="2"/>
      <c r="J21" s="2"/>
      <c r="K21" s="2"/>
      <c r="L21" s="2"/>
      <c r="M21" s="2"/>
      <c r="N21" s="2"/>
      <c r="O21" s="2"/>
      <c r="P21" s="2"/>
      <c r="Q21" s="2"/>
      <c r="R21" s="2"/>
      <c r="S21" s="2"/>
      <c r="T21" s="2"/>
      <c r="U21" s="2"/>
      <c r="V21" s="2"/>
      <c r="W21" s="2"/>
      <c r="X21" s="2"/>
      <c r="Y21" s="2"/>
      <c r="Z21" s="2"/>
    </row>
    <row r="22" ht="30.0" customHeight="1">
      <c r="A22" s="14" t="str">
        <f>'Plantilla de Casos de Prueba'!P6</f>
        <v>Resultado Obtenido</v>
      </c>
      <c r="B22" s="14" t="s">
        <v>155</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4" t="str">
        <f>'Plantilla de Casos de Prueba'!Q6</f>
        <v>Estado</v>
      </c>
      <c r="B23" s="14" t="s">
        <v>162</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4" t="str">
        <f>'Plantilla de Casos de Prueba'!R6</f>
        <v>Última Fecha de Estado</v>
      </c>
      <c r="B24" s="14" t="s">
        <v>165</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4" t="str">
        <f>'Plantilla de Casos de Prueba'!S6</f>
        <v>Observaciones</v>
      </c>
      <c r="B25" s="14" t="s">
        <v>170</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21:B2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